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09E4B5F06F3938B/Documents/"/>
    </mc:Choice>
  </mc:AlternateContent>
  <xr:revisionPtr revIDLastSave="162" documentId="8_{5B44EE60-5595-4DCF-8120-734A65495FE0}" xr6:coauthVersionLast="47" xr6:coauthVersionMax="47" xr10:uidLastSave="{8E3BE43A-3EF3-4F20-BBEF-1C061250CA0F}"/>
  <bookViews>
    <workbookView minimized="1" xWindow="5140" yWindow="3450" windowWidth="14400" windowHeight="8170" tabRatio="500" xr2:uid="{00000000-000D-0000-FFFF-FFFF00000000}"/>
  </bookViews>
  <sheets>
    <sheet name="Model" sheetId="1" r:id="rId1"/>
    <sheet name="Summary &amp; Char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8" i="1" l="1"/>
  <c r="B36" i="1"/>
  <c r="F16" i="2"/>
  <c r="E16" i="2"/>
  <c r="D16" i="2"/>
  <c r="C16" i="2"/>
  <c r="B16" i="2"/>
  <c r="F15" i="2"/>
  <c r="E15" i="2"/>
  <c r="D15" i="2"/>
  <c r="C15" i="2"/>
  <c r="B15" i="2"/>
  <c r="F13" i="2"/>
  <c r="E13" i="2"/>
  <c r="D13" i="2"/>
  <c r="C13" i="2"/>
  <c r="B13" i="2"/>
  <c r="F6" i="2"/>
  <c r="E6" i="2"/>
  <c r="D6" i="2"/>
  <c r="C6" i="2"/>
  <c r="F5" i="2"/>
  <c r="E5" i="2"/>
  <c r="D5" i="2"/>
  <c r="C5" i="2"/>
  <c r="B5" i="2"/>
  <c r="F147" i="1"/>
  <c r="E147" i="1"/>
  <c r="D147" i="1"/>
  <c r="C147" i="1"/>
  <c r="B147" i="1"/>
  <c r="F144" i="1"/>
  <c r="E144" i="1"/>
  <c r="D144" i="1"/>
  <c r="C144" i="1"/>
  <c r="B144" i="1"/>
  <c r="K143" i="1"/>
  <c r="J143" i="1"/>
  <c r="I143" i="1"/>
  <c r="H143" i="1"/>
  <c r="G143" i="1"/>
  <c r="F143" i="1"/>
  <c r="E143" i="1"/>
  <c r="D143" i="1"/>
  <c r="C143" i="1"/>
  <c r="G142" i="1"/>
  <c r="F142" i="1"/>
  <c r="E142" i="1"/>
  <c r="D142" i="1"/>
  <c r="C142" i="1"/>
  <c r="F141" i="1"/>
  <c r="E141" i="1"/>
  <c r="D141" i="1"/>
  <c r="C141" i="1"/>
  <c r="B141" i="1"/>
  <c r="F140" i="1"/>
  <c r="E140" i="1"/>
  <c r="D140" i="1"/>
  <c r="C140" i="1"/>
  <c r="G138" i="1"/>
  <c r="F138" i="1"/>
  <c r="E138" i="1"/>
  <c r="D138" i="1"/>
  <c r="C138" i="1"/>
  <c r="F133" i="1"/>
  <c r="E133" i="1"/>
  <c r="D133" i="1"/>
  <c r="C133" i="1"/>
  <c r="B133" i="1"/>
  <c r="F132" i="1"/>
  <c r="E132" i="1"/>
  <c r="D132" i="1"/>
  <c r="C132" i="1"/>
  <c r="B132" i="1"/>
  <c r="F131" i="1"/>
  <c r="E131" i="1"/>
  <c r="D131" i="1"/>
  <c r="C131" i="1"/>
  <c r="B131" i="1"/>
  <c r="F130" i="1"/>
  <c r="E130" i="1"/>
  <c r="D130" i="1"/>
  <c r="C130" i="1"/>
  <c r="B130" i="1"/>
  <c r="F129" i="1"/>
  <c r="F134" i="1" s="1"/>
  <c r="E129" i="1"/>
  <c r="D129" i="1"/>
  <c r="C129" i="1"/>
  <c r="B129" i="1"/>
  <c r="F126" i="1"/>
  <c r="E126" i="1"/>
  <c r="D126" i="1"/>
  <c r="C126" i="1"/>
  <c r="B126" i="1"/>
  <c r="F125" i="1"/>
  <c r="E125" i="1"/>
  <c r="D125" i="1"/>
  <c r="C125" i="1"/>
  <c r="B125" i="1"/>
  <c r="F123" i="1"/>
  <c r="E123" i="1"/>
  <c r="D123" i="1"/>
  <c r="C123" i="1"/>
  <c r="G122" i="1"/>
  <c r="F122" i="1"/>
  <c r="F124" i="1" s="1"/>
  <c r="E122" i="1"/>
  <c r="E124" i="1" s="1"/>
  <c r="D122" i="1"/>
  <c r="D124" i="1" s="1"/>
  <c r="C122" i="1"/>
  <c r="C124" i="1" s="1"/>
  <c r="F120" i="1"/>
  <c r="E120" i="1"/>
  <c r="D120" i="1"/>
  <c r="C120" i="1"/>
  <c r="B120" i="1"/>
  <c r="F118" i="1"/>
  <c r="F139" i="1" s="1"/>
  <c r="E118" i="1"/>
  <c r="E139" i="1" s="1"/>
  <c r="D118" i="1"/>
  <c r="D139" i="1" s="1"/>
  <c r="C118" i="1"/>
  <c r="C139" i="1" s="1"/>
  <c r="G117" i="1"/>
  <c r="F117" i="1"/>
  <c r="E117" i="1"/>
  <c r="D117" i="1"/>
  <c r="D119" i="1" s="1"/>
  <c r="C117" i="1"/>
  <c r="C119" i="1" s="1"/>
  <c r="F115" i="1"/>
  <c r="E115" i="1"/>
  <c r="D115" i="1"/>
  <c r="C115" i="1"/>
  <c r="B115" i="1"/>
  <c r="F113" i="1"/>
  <c r="E113" i="1"/>
  <c r="D113" i="1"/>
  <c r="C113" i="1"/>
  <c r="G112" i="1"/>
  <c r="F112" i="1"/>
  <c r="F114" i="1" s="1"/>
  <c r="E112" i="1"/>
  <c r="D112" i="1"/>
  <c r="D114" i="1" s="1"/>
  <c r="C112" i="1"/>
  <c r="C114" i="1" s="1"/>
  <c r="F103" i="1"/>
  <c r="E103" i="1"/>
  <c r="D103" i="1"/>
  <c r="C103" i="1"/>
  <c r="B103" i="1"/>
  <c r="K101" i="1"/>
  <c r="J101" i="1"/>
  <c r="I101" i="1"/>
  <c r="H101" i="1"/>
  <c r="G101" i="1"/>
  <c r="F96" i="1"/>
  <c r="E96" i="1"/>
  <c r="D96" i="1"/>
  <c r="C96" i="1"/>
  <c r="B96" i="1"/>
  <c r="K94" i="1"/>
  <c r="J94" i="1"/>
  <c r="I94" i="1"/>
  <c r="H94" i="1"/>
  <c r="G94" i="1"/>
  <c r="F86" i="1"/>
  <c r="E86" i="1"/>
  <c r="D86" i="1"/>
  <c r="C86" i="1"/>
  <c r="B86" i="1"/>
  <c r="F85" i="1"/>
  <c r="E85" i="1"/>
  <c r="D85" i="1"/>
  <c r="C85" i="1"/>
  <c r="B85" i="1"/>
  <c r="F79" i="1"/>
  <c r="F17" i="2" s="1"/>
  <c r="E79" i="1"/>
  <c r="E17" i="2" s="1"/>
  <c r="D79" i="1"/>
  <c r="D17" i="2" s="1"/>
  <c r="C79" i="1"/>
  <c r="C17" i="2" s="1"/>
  <c r="B79" i="1"/>
  <c r="B17" i="2" s="1"/>
  <c r="F76" i="1"/>
  <c r="F80" i="1" s="1"/>
  <c r="E76" i="1"/>
  <c r="E80" i="1" s="1"/>
  <c r="D76" i="1"/>
  <c r="D80" i="1" s="1"/>
  <c r="C76" i="1"/>
  <c r="C80" i="1" s="1"/>
  <c r="B76" i="1"/>
  <c r="F69" i="1"/>
  <c r="E69" i="1"/>
  <c r="D69" i="1"/>
  <c r="D81" i="1" s="1"/>
  <c r="C69" i="1"/>
  <c r="B69" i="1"/>
  <c r="G63" i="1"/>
  <c r="H63" i="1" s="1"/>
  <c r="I63" i="1" s="1"/>
  <c r="J63" i="1" s="1"/>
  <c r="K63" i="1" s="1"/>
  <c r="K56" i="1"/>
  <c r="J56" i="1"/>
  <c r="I56" i="1"/>
  <c r="H56" i="1"/>
  <c r="G56" i="1"/>
  <c r="G48" i="1"/>
  <c r="F43" i="1"/>
  <c r="F45" i="1" s="1"/>
  <c r="E43" i="1"/>
  <c r="E45" i="1" s="1"/>
  <c r="D43" i="1"/>
  <c r="D45" i="1" s="1"/>
  <c r="C43" i="1"/>
  <c r="C45" i="1" s="1"/>
  <c r="B43" i="1"/>
  <c r="B45" i="1" s="1"/>
  <c r="G41" i="1"/>
  <c r="F36" i="1"/>
  <c r="E36" i="1"/>
  <c r="D36" i="1"/>
  <c r="C36" i="1"/>
  <c r="F35" i="1"/>
  <c r="E35" i="1"/>
  <c r="D35" i="1"/>
  <c r="C35" i="1"/>
  <c r="F34" i="1"/>
  <c r="E34" i="1"/>
  <c r="D34" i="1"/>
  <c r="C34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F27" i="1"/>
  <c r="E27" i="1"/>
  <c r="D27" i="1"/>
  <c r="C27" i="1"/>
  <c r="B27" i="1"/>
  <c r="F25" i="1"/>
  <c r="E25" i="1"/>
  <c r="D25" i="1"/>
  <c r="C25" i="1"/>
  <c r="B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B21" i="1"/>
  <c r="F20" i="1"/>
  <c r="E20" i="1"/>
  <c r="D20" i="1"/>
  <c r="C20" i="1"/>
  <c r="F19" i="1"/>
  <c r="E19" i="1"/>
  <c r="D19" i="1"/>
  <c r="C19" i="1"/>
  <c r="B19" i="1"/>
  <c r="F17" i="1"/>
  <c r="E17" i="1"/>
  <c r="D17" i="1"/>
  <c r="C17" i="1"/>
  <c r="B17" i="1"/>
  <c r="F14" i="1"/>
  <c r="E14" i="1"/>
  <c r="D14" i="1"/>
  <c r="C14" i="1"/>
  <c r="B14" i="1"/>
  <c r="F13" i="1"/>
  <c r="E13" i="1"/>
  <c r="D13" i="1"/>
  <c r="C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F119" i="1" l="1"/>
  <c r="E119" i="1"/>
  <c r="C81" i="1"/>
  <c r="B80" i="1"/>
  <c r="B81" i="1" s="1"/>
  <c r="E81" i="1"/>
  <c r="E134" i="1"/>
  <c r="D134" i="1"/>
  <c r="C134" i="1"/>
  <c r="B134" i="1"/>
  <c r="E114" i="1"/>
  <c r="F81" i="1"/>
  <c r="G88" i="1"/>
  <c r="G95" i="1"/>
  <c r="G65" i="1"/>
  <c r="G93" i="1" s="1"/>
  <c r="G133" i="1"/>
  <c r="G75" i="1" s="1"/>
  <c r="G130" i="1"/>
  <c r="G68" i="1" s="1"/>
  <c r="G132" i="1"/>
  <c r="G74" i="1" s="1"/>
  <c r="G129" i="1"/>
  <c r="G66" i="1" s="1"/>
  <c r="G144" i="1"/>
  <c r="G140" i="1"/>
  <c r="G99" i="1" s="1"/>
  <c r="G119" i="1"/>
  <c r="G114" i="1"/>
  <c r="F47" i="1"/>
  <c r="F51" i="1" s="1"/>
  <c r="F7" i="2"/>
  <c r="F8" i="2"/>
  <c r="E47" i="1"/>
  <c r="E51" i="1" s="1"/>
  <c r="E7" i="2"/>
  <c r="E8" i="2"/>
  <c r="D47" i="1"/>
  <c r="D51" i="1" s="1"/>
  <c r="D7" i="2"/>
  <c r="D8" i="2"/>
  <c r="C47" i="1"/>
  <c r="C51" i="1" s="1"/>
  <c r="C7" i="2"/>
  <c r="C8" i="2"/>
  <c r="B47" i="1"/>
  <c r="B51" i="1" s="1"/>
  <c r="B7" i="2"/>
  <c r="B8" i="2"/>
  <c r="G49" i="1"/>
  <c r="G5" i="2"/>
  <c r="G6" i="2"/>
  <c r="G42" i="1"/>
  <c r="G43" i="1" s="1"/>
  <c r="H41" i="1"/>
  <c r="G118" i="1"/>
  <c r="G139" i="1" s="1"/>
  <c r="G123" i="1"/>
  <c r="G113" i="1"/>
  <c r="G91" i="1" s="1"/>
  <c r="G44" i="1"/>
  <c r="D135" i="1" l="1"/>
  <c r="C135" i="1"/>
  <c r="F135" i="1"/>
  <c r="E135" i="1"/>
  <c r="G141" i="1"/>
  <c r="G120" i="1"/>
  <c r="G62" i="1" s="1"/>
  <c r="H117" i="1" s="1"/>
  <c r="H119" i="1" s="1"/>
  <c r="G115" i="1"/>
  <c r="G61" i="1" s="1"/>
  <c r="H112" i="1" s="1"/>
  <c r="G45" i="1"/>
  <c r="G92" i="1"/>
  <c r="G124" i="1"/>
  <c r="F53" i="1"/>
  <c r="F15" i="1"/>
  <c r="E53" i="1"/>
  <c r="E15" i="1"/>
  <c r="D53" i="1"/>
  <c r="D15" i="1"/>
  <c r="C53" i="1"/>
  <c r="C15" i="1"/>
  <c r="B53" i="1"/>
  <c r="B15" i="1"/>
  <c r="I41" i="1"/>
  <c r="H42" i="1"/>
  <c r="H43" i="1"/>
  <c r="H44" i="1"/>
  <c r="H49" i="1"/>
  <c r="H113" i="1"/>
  <c r="H91" i="1" s="1"/>
  <c r="H118" i="1"/>
  <c r="H123" i="1"/>
  <c r="H129" i="1"/>
  <c r="H5" i="2"/>
  <c r="H6" i="2"/>
  <c r="H130" i="1"/>
  <c r="H68" i="1" s="1"/>
  <c r="H132" i="1"/>
  <c r="H74" i="1" s="1"/>
  <c r="H65" i="1"/>
  <c r="H93" i="1" s="1"/>
  <c r="H133" i="1"/>
  <c r="H75" i="1" s="1"/>
  <c r="G131" i="1"/>
  <c r="G72" i="1"/>
  <c r="H142" i="1" s="1"/>
  <c r="G146" i="1"/>
  <c r="G7" i="2" l="1"/>
  <c r="G8" i="2"/>
  <c r="G96" i="1"/>
  <c r="G13" i="2"/>
  <c r="G71" i="1"/>
  <c r="H138" i="1" s="1"/>
  <c r="G145" i="1"/>
  <c r="G147" i="1" s="1"/>
  <c r="G50" i="1" s="1"/>
  <c r="G125" i="1"/>
  <c r="G64" i="1" s="1"/>
  <c r="H122" i="1" s="1"/>
  <c r="H124" i="1" s="1"/>
  <c r="H125" i="1" s="1"/>
  <c r="H64" i="1" s="1"/>
  <c r="I122" i="1" s="1"/>
  <c r="G126" i="1"/>
  <c r="G46" i="1" s="1"/>
  <c r="H114" i="1"/>
  <c r="H115" i="1" s="1"/>
  <c r="H61" i="1" s="1"/>
  <c r="F84" i="1"/>
  <c r="F90" i="1" s="1"/>
  <c r="F55" i="1"/>
  <c r="F16" i="1"/>
  <c r="E16" i="1"/>
  <c r="E84" i="1"/>
  <c r="E90" i="1" s="1"/>
  <c r="E55" i="1"/>
  <c r="D16" i="1"/>
  <c r="D55" i="1"/>
  <c r="D84" i="1"/>
  <c r="D90" i="1" s="1"/>
  <c r="C55" i="1"/>
  <c r="C84" i="1"/>
  <c r="C90" i="1" s="1"/>
  <c r="C16" i="1"/>
  <c r="B84" i="1"/>
  <c r="B90" i="1" s="1"/>
  <c r="B55" i="1"/>
  <c r="B16" i="1"/>
  <c r="J41" i="1"/>
  <c r="I42" i="1"/>
  <c r="I43" i="1" s="1"/>
  <c r="I44" i="1"/>
  <c r="I49" i="1"/>
  <c r="I113" i="1"/>
  <c r="I91" i="1" s="1"/>
  <c r="I118" i="1"/>
  <c r="I139" i="1" s="1"/>
  <c r="I123" i="1"/>
  <c r="I92" i="1" s="1"/>
  <c r="I133" i="1"/>
  <c r="I75" i="1" s="1"/>
  <c r="I5" i="2"/>
  <c r="I6" i="2"/>
  <c r="I65" i="1"/>
  <c r="I93" i="1" s="1"/>
  <c r="I129" i="1"/>
  <c r="I130" i="1"/>
  <c r="I68" i="1" s="1"/>
  <c r="I132" i="1"/>
  <c r="I74" i="1" s="1"/>
  <c r="H66" i="1"/>
  <c r="G73" i="1"/>
  <c r="G134" i="1"/>
  <c r="G135" i="1" s="1"/>
  <c r="G87" i="1" s="1"/>
  <c r="H144" i="1"/>
  <c r="H131" i="1"/>
  <c r="H45" i="1"/>
  <c r="H139" i="1"/>
  <c r="H120" i="1"/>
  <c r="H62" i="1" s="1"/>
  <c r="I117" i="1" s="1"/>
  <c r="H92" i="1"/>
  <c r="H13" i="2" s="1"/>
  <c r="G76" i="1" l="1"/>
  <c r="G85" i="1"/>
  <c r="G47" i="1"/>
  <c r="G51" i="1" s="1"/>
  <c r="G52" i="1" s="1"/>
  <c r="G53" i="1" s="1"/>
  <c r="H126" i="1"/>
  <c r="H46" i="1" s="1"/>
  <c r="H72" i="1"/>
  <c r="I142" i="1" s="1"/>
  <c r="H146" i="1"/>
  <c r="H73" i="1"/>
  <c r="H134" i="1"/>
  <c r="H135" i="1" s="1"/>
  <c r="H87" i="1" s="1"/>
  <c r="I112" i="1"/>
  <c r="F104" i="1"/>
  <c r="F107" i="1" s="1"/>
  <c r="F12" i="2"/>
  <c r="F14" i="2"/>
  <c r="F57" i="1"/>
  <c r="F11" i="2" s="1"/>
  <c r="F38" i="1"/>
  <c r="F9" i="2"/>
  <c r="F10" i="2"/>
  <c r="F18" i="2"/>
  <c r="E104" i="1"/>
  <c r="E107" i="1" s="1"/>
  <c r="E108" i="1" s="1"/>
  <c r="E12" i="2"/>
  <c r="E14" i="2"/>
  <c r="E9" i="2"/>
  <c r="E10" i="2"/>
  <c r="E18" i="2"/>
  <c r="E57" i="1"/>
  <c r="E11" i="2" s="1"/>
  <c r="E38" i="1"/>
  <c r="D9" i="2"/>
  <c r="D10" i="2"/>
  <c r="D18" i="2"/>
  <c r="D57" i="1"/>
  <c r="D11" i="2" s="1"/>
  <c r="D38" i="1"/>
  <c r="D104" i="1"/>
  <c r="D107" i="1" s="1"/>
  <c r="D108" i="1" s="1"/>
  <c r="D12" i="2"/>
  <c r="D14" i="2"/>
  <c r="C9" i="2"/>
  <c r="C10" i="2"/>
  <c r="C18" i="2"/>
  <c r="C57" i="1"/>
  <c r="C11" i="2" s="1"/>
  <c r="C38" i="1"/>
  <c r="C104" i="1"/>
  <c r="C107" i="1" s="1"/>
  <c r="C108" i="1" s="1"/>
  <c r="C12" i="2"/>
  <c r="C14" i="2"/>
  <c r="B104" i="1"/>
  <c r="B107" i="1" s="1"/>
  <c r="B108" i="1" s="1"/>
  <c r="B12" i="2"/>
  <c r="B14" i="2"/>
  <c r="B38" i="1"/>
  <c r="B57" i="1"/>
  <c r="B11" i="2" s="1"/>
  <c r="B9" i="2"/>
  <c r="B10" i="2"/>
  <c r="K41" i="1"/>
  <c r="J42" i="1"/>
  <c r="J43" i="1" s="1"/>
  <c r="J44" i="1"/>
  <c r="J49" i="1"/>
  <c r="J65" i="1"/>
  <c r="J93" i="1" s="1"/>
  <c r="J113" i="1"/>
  <c r="J91" i="1" s="1"/>
  <c r="J118" i="1"/>
  <c r="J139" i="1" s="1"/>
  <c r="J123" i="1"/>
  <c r="J92" i="1" s="1"/>
  <c r="J130" i="1"/>
  <c r="J68" i="1" s="1"/>
  <c r="J5" i="2"/>
  <c r="J6" i="2"/>
  <c r="J129" i="1"/>
  <c r="J132" i="1"/>
  <c r="J74" i="1" s="1"/>
  <c r="J133" i="1"/>
  <c r="J75" i="1" s="1"/>
  <c r="I13" i="2"/>
  <c r="I66" i="1"/>
  <c r="H140" i="1"/>
  <c r="H8" i="2"/>
  <c r="H7" i="2"/>
  <c r="G86" i="1"/>
  <c r="G100" i="1"/>
  <c r="I119" i="1"/>
  <c r="I120" i="1" s="1"/>
  <c r="I62" i="1" s="1"/>
  <c r="J117" i="1" s="1"/>
  <c r="I124" i="1"/>
  <c r="I125" i="1" s="1"/>
  <c r="I64" i="1" s="1"/>
  <c r="J122" i="1" s="1"/>
  <c r="I131" i="1"/>
  <c r="I45" i="1"/>
  <c r="J45" i="1" l="1"/>
  <c r="H85" i="1"/>
  <c r="H47" i="1"/>
  <c r="I144" i="1"/>
  <c r="H99" i="1"/>
  <c r="H141" i="1"/>
  <c r="I73" i="1"/>
  <c r="I134" i="1"/>
  <c r="I135" i="1" s="1"/>
  <c r="I87" i="1" s="1"/>
  <c r="I114" i="1"/>
  <c r="F108" i="1"/>
  <c r="G105" i="1"/>
  <c r="K42" i="1"/>
  <c r="K43" i="1" s="1"/>
  <c r="K44" i="1"/>
  <c r="K49" i="1"/>
  <c r="K113" i="1"/>
  <c r="K91" i="1" s="1"/>
  <c r="K118" i="1"/>
  <c r="K139" i="1" s="1"/>
  <c r="K123" i="1"/>
  <c r="K92" i="1" s="1"/>
  <c r="K5" i="2"/>
  <c r="K6" i="2"/>
  <c r="K129" i="1"/>
  <c r="K65" i="1"/>
  <c r="K93" i="1" s="1"/>
  <c r="K130" i="1"/>
  <c r="K68" i="1" s="1"/>
  <c r="K132" i="1"/>
  <c r="K74" i="1" s="1"/>
  <c r="K133" i="1"/>
  <c r="K75" i="1" s="1"/>
  <c r="J13" i="2"/>
  <c r="J66" i="1"/>
  <c r="J119" i="1"/>
  <c r="J120" i="1" s="1"/>
  <c r="J62" i="1" s="1"/>
  <c r="K117" i="1" s="1"/>
  <c r="J124" i="1"/>
  <c r="J125" i="1" s="1"/>
  <c r="J64" i="1" s="1"/>
  <c r="K122" i="1" s="1"/>
  <c r="G54" i="1"/>
  <c r="G84" i="1"/>
  <c r="G90" i="1" s="1"/>
  <c r="I8" i="2"/>
  <c r="I7" i="2"/>
  <c r="J131" i="1"/>
  <c r="J8" i="2" l="1"/>
  <c r="J7" i="2"/>
  <c r="I72" i="1"/>
  <c r="J142" i="1" s="1"/>
  <c r="I146" i="1"/>
  <c r="H145" i="1"/>
  <c r="H147" i="1" s="1"/>
  <c r="H50" i="1" s="1"/>
  <c r="H71" i="1"/>
  <c r="K13" i="2"/>
  <c r="K66" i="1"/>
  <c r="K119" i="1"/>
  <c r="K120" i="1" s="1"/>
  <c r="K62" i="1" s="1"/>
  <c r="K124" i="1"/>
  <c r="K125" i="1" s="1"/>
  <c r="K64" i="1" s="1"/>
  <c r="G12" i="2"/>
  <c r="G14" i="2"/>
  <c r="K131" i="1"/>
  <c r="K45" i="1"/>
  <c r="I126" i="1"/>
  <c r="I46" i="1" s="1"/>
  <c r="I115" i="1"/>
  <c r="I61" i="1" s="1"/>
  <c r="G78" i="1"/>
  <c r="G55" i="1"/>
  <c r="J73" i="1"/>
  <c r="J134" i="1"/>
  <c r="J135" i="1" s="1"/>
  <c r="J87" i="1" s="1"/>
  <c r="J144" i="1" l="1"/>
  <c r="H100" i="1"/>
  <c r="H86" i="1"/>
  <c r="I138" i="1"/>
  <c r="H76" i="1"/>
  <c r="K8" i="2"/>
  <c r="K7" i="2"/>
  <c r="I47" i="1"/>
  <c r="I85" i="1"/>
  <c r="J112" i="1"/>
  <c r="G10" i="2"/>
  <c r="G9" i="2"/>
  <c r="G97" i="1"/>
  <c r="G77" i="1" s="1"/>
  <c r="G18" i="2" s="1"/>
  <c r="G57" i="1"/>
  <c r="G11" i="2" s="1"/>
  <c r="K73" i="1"/>
  <c r="K134" i="1"/>
  <c r="K135" i="1" s="1"/>
  <c r="K87" i="1" s="1"/>
  <c r="J72" i="1" l="1"/>
  <c r="K142" i="1" s="1"/>
  <c r="J146" i="1"/>
  <c r="I140" i="1"/>
  <c r="J114" i="1"/>
  <c r="G103" i="1"/>
  <c r="G104" i="1" s="1"/>
  <c r="G107" i="1" s="1"/>
  <c r="G15" i="2"/>
  <c r="G79" i="1"/>
  <c r="K144" i="1" l="1"/>
  <c r="I99" i="1"/>
  <c r="I141" i="1"/>
  <c r="G67" i="1"/>
  <c r="G108" i="1" s="1"/>
  <c r="H105" i="1"/>
  <c r="G80" i="1"/>
  <c r="G17" i="2"/>
  <c r="J126" i="1"/>
  <c r="J46" i="1" s="1"/>
  <c r="J115" i="1"/>
  <c r="J61" i="1" s="1"/>
  <c r="I71" i="1" l="1"/>
  <c r="I145" i="1"/>
  <c r="I147" i="1" s="1"/>
  <c r="I50" i="1" s="1"/>
  <c r="K72" i="1"/>
  <c r="K146" i="1"/>
  <c r="G69" i="1"/>
  <c r="G81" i="1" s="1"/>
  <c r="H48" i="1"/>
  <c r="G16" i="2"/>
  <c r="J85" i="1"/>
  <c r="J47" i="1"/>
  <c r="K112" i="1"/>
  <c r="I76" i="1" l="1"/>
  <c r="J138" i="1"/>
  <c r="J140" i="1" s="1"/>
  <c r="I86" i="1"/>
  <c r="I100" i="1"/>
  <c r="H51" i="1"/>
  <c r="H88" i="1"/>
  <c r="H95" i="1"/>
  <c r="H96" i="1" s="1"/>
  <c r="K114" i="1"/>
  <c r="K126" i="1" l="1"/>
  <c r="K46" i="1" s="1"/>
  <c r="K115" i="1"/>
  <c r="K61" i="1" s="1"/>
  <c r="J99" i="1"/>
  <c r="J141" i="1"/>
  <c r="H52" i="1"/>
  <c r="H53" i="1" s="1"/>
  <c r="K47" i="1" l="1"/>
  <c r="K85" i="1"/>
  <c r="J145" i="1"/>
  <c r="J147" i="1" s="1"/>
  <c r="J50" i="1" s="1"/>
  <c r="J71" i="1"/>
  <c r="H54" i="1"/>
  <c r="H84" i="1"/>
  <c r="H90" i="1" s="1"/>
  <c r="J86" i="1" l="1"/>
  <c r="J100" i="1"/>
  <c r="K138" i="1"/>
  <c r="J76" i="1"/>
  <c r="H12" i="2"/>
  <c r="H14" i="2"/>
  <c r="H78" i="1"/>
  <c r="H55" i="1"/>
  <c r="K140" i="1" l="1"/>
  <c r="H10" i="2"/>
  <c r="H9" i="2"/>
  <c r="H97" i="1"/>
  <c r="H77" i="1" s="1"/>
  <c r="H18" i="2" s="1"/>
  <c r="H57" i="1"/>
  <c r="H11" i="2" s="1"/>
  <c r="K99" i="1" l="1"/>
  <c r="K141" i="1"/>
  <c r="H103" i="1"/>
  <c r="H104" i="1" s="1"/>
  <c r="H107" i="1" s="1"/>
  <c r="H15" i="2"/>
  <c r="H79" i="1"/>
  <c r="K145" i="1" l="1"/>
  <c r="K147" i="1" s="1"/>
  <c r="K50" i="1" s="1"/>
  <c r="K71" i="1"/>
  <c r="K76" i="1" s="1"/>
  <c r="H67" i="1"/>
  <c r="H108" i="1" s="1"/>
  <c r="I105" i="1"/>
  <c r="H80" i="1"/>
  <c r="H17" i="2"/>
  <c r="K86" i="1" l="1"/>
  <c r="K100" i="1"/>
  <c r="H69" i="1"/>
  <c r="H81" i="1" s="1"/>
  <c r="H16" i="2"/>
  <c r="I48" i="1"/>
  <c r="I51" i="1" l="1"/>
  <c r="I88" i="1"/>
  <c r="I95" i="1"/>
  <c r="I96" i="1" s="1"/>
  <c r="I52" i="1" l="1"/>
  <c r="I53" i="1" s="1"/>
  <c r="I84" i="1" l="1"/>
  <c r="I90" i="1" s="1"/>
  <c r="I54" i="1"/>
  <c r="I78" i="1" l="1"/>
  <c r="I55" i="1"/>
  <c r="I12" i="2"/>
  <c r="I14" i="2"/>
  <c r="I57" i="1" l="1"/>
  <c r="I11" i="2" s="1"/>
  <c r="I97" i="1"/>
  <c r="I9" i="2"/>
  <c r="I10" i="2"/>
  <c r="I77" i="1" l="1"/>
  <c r="I103" i="1"/>
  <c r="I104" i="1" s="1"/>
  <c r="I107" i="1" s="1"/>
  <c r="I15" i="2"/>
  <c r="I67" i="1" l="1"/>
  <c r="J105" i="1"/>
  <c r="I79" i="1"/>
  <c r="I18" i="2"/>
  <c r="J48" i="1" l="1"/>
  <c r="I69" i="1"/>
  <c r="I108" i="1"/>
  <c r="I16" i="2"/>
  <c r="I17" i="2"/>
  <c r="I80" i="1"/>
  <c r="J88" i="1" l="1"/>
  <c r="J95" i="1"/>
  <c r="J96" i="1" s="1"/>
  <c r="J51" i="1"/>
  <c r="J52" i="1" s="1"/>
  <c r="J53" i="1" s="1"/>
  <c r="I81" i="1"/>
  <c r="J84" i="1" l="1"/>
  <c r="J90" i="1" s="1"/>
  <c r="J54" i="1"/>
  <c r="J12" i="2" l="1"/>
  <c r="J14" i="2"/>
  <c r="J78" i="1"/>
  <c r="J55" i="1"/>
  <c r="J97" i="1" l="1"/>
  <c r="J77" i="1" s="1"/>
  <c r="J18" i="2" s="1"/>
  <c r="J57" i="1"/>
  <c r="J11" i="2" s="1"/>
  <c r="J10" i="2"/>
  <c r="J9" i="2"/>
  <c r="J103" i="1" l="1"/>
  <c r="J104" i="1" s="1"/>
  <c r="J107" i="1" s="1"/>
  <c r="J15" i="2"/>
  <c r="J79" i="1"/>
  <c r="J67" i="1" l="1"/>
  <c r="J108" i="1" s="1"/>
  <c r="K105" i="1"/>
  <c r="J80" i="1"/>
  <c r="J17" i="2"/>
  <c r="J69" i="1" l="1"/>
  <c r="J81" i="1" s="1"/>
  <c r="K48" i="1"/>
  <c r="J16" i="2"/>
  <c r="K51" i="1" l="1"/>
  <c r="K88" i="1"/>
  <c r="K95" i="1"/>
  <c r="K96" i="1" s="1"/>
  <c r="K52" i="1" l="1"/>
  <c r="K53" i="1" s="1"/>
  <c r="K54" i="1" l="1"/>
  <c r="K84" i="1"/>
  <c r="K90" i="1" s="1"/>
  <c r="K78" i="1" l="1"/>
  <c r="K55" i="1"/>
  <c r="K12" i="2"/>
  <c r="K14" i="2"/>
  <c r="K97" i="1" l="1"/>
  <c r="K103" i="1" s="1"/>
  <c r="K104" i="1" s="1"/>
  <c r="K107" i="1" s="1"/>
  <c r="K57" i="1"/>
  <c r="K11" i="2" s="1"/>
  <c r="K9" i="2"/>
  <c r="K10" i="2"/>
  <c r="K77" i="1" l="1"/>
  <c r="K15" i="2"/>
  <c r="K67" i="1"/>
  <c r="K108" i="1" s="1"/>
  <c r="K18" i="2" l="1"/>
  <c r="K79" i="1"/>
  <c r="K16" i="2"/>
  <c r="K69" i="1"/>
  <c r="K17" i="2" l="1"/>
  <c r="K80" i="1"/>
  <c r="K81" i="1" s="1"/>
</calcChain>
</file>

<file path=xl/sharedStrings.xml><?xml version="1.0" encoding="utf-8"?>
<sst xmlns="http://schemas.openxmlformats.org/spreadsheetml/2006/main" count="207" uniqueCount="186">
  <si>
    <t>Tata Consultancy Services Ltd - Three-Statement Model (FY22A-FY31E)</t>
  </si>
  <si>
    <t>Particulars</t>
  </si>
  <si>
    <t>FY22A</t>
  </si>
  <si>
    <t>FY23A</t>
  </si>
  <si>
    <t>FY24A</t>
  </si>
  <si>
    <t>FY25A</t>
  </si>
  <si>
    <t>FY26A</t>
  </si>
  <si>
    <t>FY27E</t>
  </si>
  <si>
    <t>FY28E</t>
  </si>
  <si>
    <t>FY29E</t>
  </si>
  <si>
    <t>FY30E</t>
  </si>
  <si>
    <t>FY31E</t>
  </si>
  <si>
    <t>Basis for assumption</t>
  </si>
  <si>
    <t>Revenue and profitability</t>
  </si>
  <si>
    <t>Revenue growth</t>
  </si>
  <si>
    <t>TCS grew about 6% a year over the last 3 years, but only 4.6% in FY26. We start a little lower at 5% and slowly go back to 6%.</t>
  </si>
  <si>
    <t>Cost of revenue (% of revenue)</t>
  </si>
  <si>
    <t>Salaries and hardware take about 60% of revenue in most years (59.7% in FY24 and FY26). We keep it at 60%, leaving room for yearly pay hikes.</t>
  </si>
  <si>
    <t>Other operating expenses (% of revenue)</t>
  </si>
  <si>
    <t>All other day-to-day costs are usually 12-14% of revenue once one-off charges are taken out. We use the middle, 13%.</t>
  </si>
  <si>
    <t>Interest yield (% of opening cash + investments)</t>
  </si>
  <si>
    <t>TCS earns interest on its cash and investments. It earned 6.7-8.3% a year on the opening balance (about 7.6% on average), so we use 7.5%. More cash now means more interest.</t>
  </si>
  <si>
    <t>Other non-interest income (% of revenue)</t>
  </si>
  <si>
    <t>Effective tax rate (% of profit before tax)</t>
  </si>
  <si>
    <t>TCS has paid 24.5-25.7% of its profit as tax every year. India's company tax rate is about 25%, so we use 25.5%.</t>
  </si>
  <si>
    <t>Non-controlling interests (% of profit)</t>
  </si>
  <si>
    <t>A small slice of profit belongs to minority partners in some subsidiaries - about 0.5% recently. We keep 0.5%.</t>
  </si>
  <si>
    <t>Weighted average shares (crore)</t>
  </si>
  <si>
    <t>We assume no new shares and no buy-backs, so the number of shares stays the same as FY26.</t>
  </si>
  <si>
    <t>Capex, depreciation and amortisation</t>
  </si>
  <si>
    <t>PP&amp;E capex (% of revenue)</t>
  </si>
  <si>
    <t>PP&amp;E depreciation (% of opening PP&amp;E)</t>
  </si>
  <si>
    <t>Assets like laptops and office fit-outs last about 4 years, so roughly 23% of their value is written off each year. History is 21-27%, apart from FY25 (13%), which was distorted by asset acquisitions.</t>
  </si>
  <si>
    <t>Intangible asset additions (% of revenue)</t>
  </si>
  <si>
    <t>Mostly software licences. TCS spends about 0.2% of revenue on them (0.14-0.37% in FY23-26).</t>
  </si>
  <si>
    <t>Intangible amortisation (% of opening intangibles + additions)</t>
  </si>
  <si>
    <t>New leases (% of revenue)</t>
  </si>
  <si>
    <t>TCS rents most of its offices. New lease contracts rose from 0.6% to 1.4% of revenue as offices expanded; we assume 1.2%.</t>
  </si>
  <si>
    <t>ROU depreciation (% of opening ROU assets)</t>
  </si>
  <si>
    <t>Office leases last about 5 years, so about 21% of the leased-asset value is written off each year - in line with history (19-22%).</t>
  </si>
  <si>
    <t>Acquisitions (₹ crore)</t>
  </si>
  <si>
    <t>Working capital and investments</t>
  </si>
  <si>
    <t>Trade receivable days (on revenue)</t>
  </si>
  <si>
    <t>Trade payable days (on cost of revenue + other opex)</t>
  </si>
  <si>
    <t>TCS pays its suppliers in about 20-27 days. We use 25 days, close to the recent average.</t>
  </si>
  <si>
    <t>Unearned and deferred revenue (% of revenue)</t>
  </si>
  <si>
    <t>Other assets (% of revenue)</t>
  </si>
  <si>
    <t>Smaller items such as tax refunds due, deposits and prepaid expenses. These have averaged about 12% of revenue over the last 3 years.</t>
  </si>
  <si>
    <t>Other liabilities (% of revenue)</t>
  </si>
  <si>
    <t>Smaller items such as tax owed, employee dues and provisions. These have averaged about 15% of revenue over the last 3 years.</t>
  </si>
  <si>
    <t>Investments and bank deposits (% of revenue)</t>
  </si>
  <si>
    <t>TCS has kept investments and bank deposits at about 15% of revenue for the last 3 years (14.9-15.2%). We keep 15%, so the portfolio grows with the business.</t>
  </si>
  <si>
    <t>Finance cost rate (% of average lease liabilities)</t>
  </si>
  <si>
    <t>Historical figure = total finance costs / average lease liabilities, so it is a blended rate (it also includes other finance costs): 9-12%. For the forecast, 10.5% is our own assumption for lease finance cost.</t>
  </si>
  <si>
    <t>Lease principal repaid (% of opening lease liabilities)</t>
  </si>
  <si>
    <t>TCS pays off about 20% of what it owes on leases every year (19-21% historically). We keep 20%.</t>
  </si>
  <si>
    <t>New borrowings / (repayments) (₹ crore)</t>
  </si>
  <si>
    <t>Interest rate on borrowings (on average balance)</t>
  </si>
  <si>
    <t>Only used if you add borrowings above. 8.5% is an illustrative loan rate, charged on the average balance so new loans pay interest in the year they are taken.</t>
  </si>
  <si>
    <t>Dividend payout (% of profit attributable)</t>
  </si>
  <si>
    <t>TCS gives most of its profit back to shareholders as dividends - 80-93% in the last two years. We use 85% and assume no buy-backs.</t>
  </si>
  <si>
    <t>INCOME STATEMENT</t>
  </si>
  <si>
    <t>Revenue from operations</t>
  </si>
  <si>
    <t>Cost of revenue</t>
  </si>
  <si>
    <t>Gross profit</t>
  </si>
  <si>
    <t>Other operating expenses</t>
  </si>
  <si>
    <t>EBITDA</t>
  </si>
  <si>
    <t>Depreciation and amortisation</t>
  </si>
  <si>
    <t>EBIT</t>
  </si>
  <si>
    <t>Interest income</t>
  </si>
  <si>
    <t>Other non-interest income</t>
  </si>
  <si>
    <t>Profit before tax</t>
  </si>
  <si>
    <t>Tax expense</t>
  </si>
  <si>
    <t>Profit for the year</t>
  </si>
  <si>
    <t>Less: Non-controlling interests</t>
  </si>
  <si>
    <t>Profit attributable to shareholders</t>
  </si>
  <si>
    <t>EPS - basic and diluted (₹)</t>
  </si>
  <si>
    <t>BALANCE SHEET</t>
  </si>
  <si>
    <t>Assets</t>
  </si>
  <si>
    <t>Right-of-use assets</t>
  </si>
  <si>
    <t>Goodwill</t>
  </si>
  <si>
    <t>Other intangible assets</t>
  </si>
  <si>
    <t>Investments and bank deposits</t>
  </si>
  <si>
    <t>Trade receivables</t>
  </si>
  <si>
    <t>Cash and cash equivalents</t>
  </si>
  <si>
    <t>Other assets</t>
  </si>
  <si>
    <t>TOTAL ASSETS</t>
  </si>
  <si>
    <t>Liabilities and equity</t>
  </si>
  <si>
    <t>Lease liabilities</t>
  </si>
  <si>
    <t>Borrowings</t>
  </si>
  <si>
    <t>Trade payables</t>
  </si>
  <si>
    <t>Unearned and deferred revenue</t>
  </si>
  <si>
    <t>Other liabilities</t>
  </si>
  <si>
    <t>Total liabilities</t>
  </si>
  <si>
    <t>Shareholders' equity</t>
  </si>
  <si>
    <t>Non-controlling interests</t>
  </si>
  <si>
    <t>Total equity</t>
  </si>
  <si>
    <t>TOTAL LIABILITIES AND EQUITY</t>
  </si>
  <si>
    <t>Check (should be 0)</t>
  </si>
  <si>
    <t>CASH FLOW STATEMENT</t>
  </si>
  <si>
    <t>Add: Depreciation and amortisation</t>
  </si>
  <si>
    <t>Change in working capital</t>
  </si>
  <si>
    <t>Less: Interest income (shown in investing)</t>
  </si>
  <si>
    <t>Other operating items (taxes, non-cash)</t>
  </si>
  <si>
    <t>Cash from operations (CFO)</t>
  </si>
  <si>
    <t>Capex - property, plant and equipment</t>
  </si>
  <si>
    <t>Purchase of intangible assets</t>
  </si>
  <si>
    <t>Net investments and deposits</t>
  </si>
  <si>
    <t>Acquisitions</t>
  </si>
  <si>
    <t>Interest received (and other investing)</t>
  </si>
  <si>
    <t>Cash from investing (CFI)</t>
  </si>
  <si>
    <t>Dividends paid</t>
  </si>
  <si>
    <t>Share buy-back</t>
  </si>
  <si>
    <t>Repayment of lease liabilities</t>
  </si>
  <si>
    <t>Interest paid</t>
  </si>
  <si>
    <t>Borrowings drawn / (repaid)</t>
  </si>
  <si>
    <t>Other financing</t>
  </si>
  <si>
    <t>Cash from financing (CFF)</t>
  </si>
  <si>
    <t>Net change in cash</t>
  </si>
  <si>
    <t>Opening cash</t>
  </si>
  <si>
    <t>FX difference</t>
  </si>
  <si>
    <t>Closing cash</t>
  </si>
  <si>
    <t>Check vs balance sheet cash (should be 0)</t>
  </si>
  <si>
    <t>SUPPORTING SCHEDULES</t>
  </si>
  <si>
    <t>1. Depreciation and amortisation schedule - Property, plant and equipment</t>
  </si>
  <si>
    <t>Opening PP&amp;E</t>
  </si>
  <si>
    <t>Add: Capex</t>
  </si>
  <si>
    <t>Less: Depreciation</t>
  </si>
  <si>
    <t>Closing PP&amp;E</t>
  </si>
  <si>
    <t xml:space="preserve">    Right-of-use (lease) assets</t>
  </si>
  <si>
    <t>Opening ROU assets</t>
  </si>
  <si>
    <t>Add: New leases</t>
  </si>
  <si>
    <t>Less: ROU depreciation</t>
  </si>
  <si>
    <t>Closing ROU assets</t>
  </si>
  <si>
    <t xml:space="preserve">    Other intangible assets</t>
  </si>
  <si>
    <t>Opening intangible assets</t>
  </si>
  <si>
    <t>Add: Additions</t>
  </si>
  <si>
    <t>Less: Amortisation</t>
  </si>
  <si>
    <t>Closing intangible assets</t>
  </si>
  <si>
    <t>Total depreciation and amortisation (to income statement)</t>
  </si>
  <si>
    <t>2. Working capital schedule</t>
  </si>
  <si>
    <t>Less: Trade payables</t>
  </si>
  <si>
    <t>Less: Unearned and deferred revenue</t>
  </si>
  <si>
    <t>Less: Other liabilities</t>
  </si>
  <si>
    <t>Net working capital</t>
  </si>
  <si>
    <t>Increase / (decrease) in net working capital (to cash flow)</t>
  </si>
  <si>
    <t>Opening lease liabilities</t>
  </si>
  <si>
    <t>Less: Principal repaid</t>
  </si>
  <si>
    <t>Closing lease liabilities</t>
  </si>
  <si>
    <t>Opening borrowings</t>
  </si>
  <si>
    <t>Add: Drawn / (repaid)</t>
  </si>
  <si>
    <t>Closing borrowings</t>
  </si>
  <si>
    <t>Finance cost on lease liabilities (on average balance)</t>
  </si>
  <si>
    <t>Interest on borrowings (on average balance)</t>
  </si>
  <si>
    <t>Notes</t>
  </si>
  <si>
    <t>Investments and bank deposits = current + non-current investments and other bank balances. Other assets / liabilities = all remaining balance sheet items, treated as working capital.</t>
  </si>
  <si>
    <t>Interest income is calculated on opening cash + investments to avoid a circular reference. Lease and borrowing interest use average balances (no circularity, as those balances do not depend on cash).</t>
  </si>
  <si>
    <t>TCS - Summary and Charts</t>
  </si>
  <si>
    <t>Key metrics</t>
  </si>
  <si>
    <t>Revenue</t>
  </si>
  <si>
    <t>EBITDA margin</t>
  </si>
  <si>
    <t>Net profit margin</t>
  </si>
  <si>
    <t>EPS (₹)</t>
  </si>
  <si>
    <t>Cash from operations</t>
  </si>
  <si>
    <t>Capex (PP&amp;E + intangibles)</t>
  </si>
  <si>
    <t>Free cash flow (CFO - capex)</t>
  </si>
  <si>
    <t>Return on equity</t>
  </si>
  <si>
    <t xml:space="preserve">Source: TCS Integrated Annual Reports (consolidated) </t>
  </si>
  <si>
    <t>Income other than interest (e.g. gains on investments, dividends). Small and volatile about 0.2-0.3% of revenue in FY24-26. We use 0.2%.</t>
  </si>
  <si>
    <t>Property, plant and equipment (including CWIP)</t>
  </si>
  <si>
    <t xml:space="preserve">₹ crore unless stated. </t>
  </si>
  <si>
    <t>₹ crore unless stated | A = actual, E = estimate | Blue = input, black = formula, yellow = forecast assumption</t>
  </si>
  <si>
    <t xml:space="preserve">ASSUMPTIONS </t>
  </si>
  <si>
    <t>Software is written off fast - about 2 years. History ranges 35-87% of the opening balance plus additions (average about 56%). We use 50%.</t>
  </si>
  <si>
    <t xml:space="preserve">Acquisitions are lumpy and hard to predict (zero in FY22-24, ₹7,554 crore in FY26), so we assume none. </t>
  </si>
  <si>
    <t>TCS takes about 86 days on average (last 3 years) to collect cash from clients. It slipped to 93 days in FY26. We assume it slowly improves back to 86.</t>
  </si>
  <si>
    <t>Clients sometimes pay before the work is done. This advance money has averaged about 1.7% of revenue. We use 1.65%.</t>
  </si>
  <si>
    <t>Finance costs (mainly interest on leases)</t>
  </si>
  <si>
    <t>Add: Finance costs</t>
  </si>
  <si>
    <t>Total finance costs (to income statement)</t>
  </si>
  <si>
    <t>3. Debt (leases and borrowings) and finance cost schedule</t>
  </si>
  <si>
    <t>Leases, borrowings, finance costs and dividends</t>
  </si>
  <si>
    <t xml:space="preserve">TCS has no loans and does not need any, so we assume zero. </t>
  </si>
  <si>
    <t>Cost of revenue = employee benefit expenses + cost of equipment and software licences. Exceptional items (FY24: 958, FY26: 4,526) are in other operating expenses.</t>
  </si>
  <si>
    <t>Forecast dividends exclude dividends to non-controlling interests. FX difference assumed zero.</t>
  </si>
  <si>
    <t>TCS is a services company, so it needs few physical assets (offices, computers). It spends about 0.9-1.4% of revenue on them (1.4% in FY26). We use 1.3%.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</si>
</sst>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\(0.0%\);\-"/>
    <numFmt numFmtId="165" formatCode="#,##0;\(#,##0\);\-"/>
    <numFmt numFmtId="166" formatCode="0;\(0\);\-"/>
  </numFmts>
  <fonts count="16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  <font>
      <b/>
      <i/>
      <sz val="11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sz val="11"/>
      <color rgb="FF0000FF"/>
      <name val="Arial"/>
      <family val="2"/>
    </font>
    <font>
      <sz val="9"/>
      <color rgb="FF404040"/>
      <name val="Arial"/>
      <family val="2"/>
    </font>
    <font>
      <b/>
      <sz val="11"/>
      <color rgb="FF000000"/>
      <name val="Arial"/>
      <family val="2"/>
    </font>
    <font>
      <i/>
      <sz val="11"/>
      <color rgb="FF808080"/>
      <name val="Arial"/>
      <family val="2"/>
    </font>
    <font>
      <b/>
      <sz val="9"/>
      <color rgb="FF000000"/>
      <name val="Arial"/>
      <family val="2"/>
    </font>
    <font>
      <sz val="9"/>
      <color rgb="FF595959"/>
      <name val="Arial"/>
      <family val="2"/>
    </font>
    <font>
      <sz val="11"/>
      <name val="Arial"/>
      <family val="2"/>
    </font>
    <font>
      <sz val="11"/>
      <color rgb="FF008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E4E"/>
        <bgColor rgb="FF595959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/>
    <xf numFmtId="0" fontId="5" fillId="0" borderId="0" xfId="0" applyFont="1"/>
    <xf numFmtId="0" fontId="6" fillId="0" borderId="0" xfId="0" applyFont="1" applyAlignment="1">
      <alignment indent="1"/>
    </xf>
    <xf numFmtId="164" fontId="7" fillId="0" borderId="0" xfId="0" applyNumberFormat="1" applyFont="1"/>
    <xf numFmtId="164" fontId="8" fillId="5" borderId="0" xfId="0" applyNumberFormat="1" applyFont="1" applyFill="1"/>
    <xf numFmtId="4" fontId="7" fillId="0" borderId="0" xfId="0" applyNumberFormat="1" applyFont="1"/>
    <xf numFmtId="4" fontId="8" fillId="5" borderId="0" xfId="0" applyNumberFormat="1" applyFont="1" applyFill="1"/>
    <xf numFmtId="165" fontId="7" fillId="0" borderId="0" xfId="0" applyNumberFormat="1" applyFont="1"/>
    <xf numFmtId="165" fontId="8" fillId="5" borderId="0" xfId="0" applyNumberFormat="1" applyFont="1" applyFill="1"/>
    <xf numFmtId="166" fontId="7" fillId="0" borderId="0" xfId="0" applyNumberFormat="1" applyFont="1"/>
    <xf numFmtId="166" fontId="8" fillId="5" borderId="0" xfId="0" applyNumberFormat="1" applyFont="1" applyFill="1"/>
    <xf numFmtId="165" fontId="8" fillId="0" borderId="0" xfId="0" applyNumberFormat="1" applyFont="1"/>
    <xf numFmtId="165" fontId="6" fillId="0" borderId="0" xfId="0" applyNumberFormat="1" applyFont="1"/>
    <xf numFmtId="0" fontId="10" fillId="0" borderId="0" xfId="0" applyFont="1"/>
    <xf numFmtId="165" fontId="10" fillId="0" borderId="1" xfId="0" applyNumberFormat="1" applyFont="1" applyBorder="1"/>
    <xf numFmtId="4" fontId="8" fillId="0" borderId="0" xfId="0" applyNumberFormat="1" applyFont="1"/>
    <xf numFmtId="4" fontId="6" fillId="0" borderId="0" xfId="0" applyNumberFormat="1" applyFont="1"/>
    <xf numFmtId="2" fontId="6" fillId="0" borderId="0" xfId="0" applyNumberFormat="1" applyFont="1"/>
    <xf numFmtId="0" fontId="11" fillId="0" borderId="0" xfId="0" applyFont="1" applyAlignment="1">
      <alignment indent="1"/>
    </xf>
    <xf numFmtId="165" fontId="11" fillId="0" borderId="0" xfId="0" applyNumberFormat="1" applyFont="1"/>
    <xf numFmtId="165" fontId="10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65" fontId="15" fillId="0" borderId="0" xfId="0" applyNumberFormat="1" applyFont="1"/>
    <xf numFmtId="164" fontId="15" fillId="0" borderId="0" xfId="0" applyNumberFormat="1" applyFont="1"/>
    <xf numFmtId="2" fontId="15" fillId="0" borderId="0" xfId="0" applyNumberFormat="1" applyFont="1"/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4E"/>
      <rgbColor rgb="FFC0C0C0"/>
      <rgbColor rgb="FF808080"/>
      <rgbColor rgb="FF9999FF"/>
      <rgbColor rgb="FFBE4B48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C0504D"/>
      <rgbColor rgb="FF59595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and EBITDA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&amp; Charts'!$A$5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Charts'!$B$4:$K$4</c:f>
              <c:strCache>
                <c:ptCount val="10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</c:strCache>
            </c:strRef>
          </c:cat>
          <c:val>
            <c:numRef>
              <c:f>'Summary &amp; Charts'!$B$5:$K$5</c:f>
              <c:numCache>
                <c:formatCode>#,##0;\(#,##0\);\-</c:formatCode>
                <c:ptCount val="10"/>
                <c:pt idx="0">
                  <c:v>191754</c:v>
                </c:pt>
                <c:pt idx="1">
                  <c:v>225458</c:v>
                </c:pt>
                <c:pt idx="2">
                  <c:v>240893</c:v>
                </c:pt>
                <c:pt idx="3">
                  <c:v>255324</c:v>
                </c:pt>
                <c:pt idx="4">
                  <c:v>267021</c:v>
                </c:pt>
                <c:pt idx="5">
                  <c:v>280372.05</c:v>
                </c:pt>
                <c:pt idx="6">
                  <c:v>295792.51274999999</c:v>
                </c:pt>
                <c:pt idx="7">
                  <c:v>313540.06351499999</c:v>
                </c:pt>
                <c:pt idx="8">
                  <c:v>332352.46732589998</c:v>
                </c:pt>
                <c:pt idx="9">
                  <c:v>352293.615365454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5-4806-961E-1FD622C34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725312"/>
        <c:axId val="73469418"/>
      </c:barChart>
      <c:lineChart>
        <c:grouping val="standard"/>
        <c:varyColors val="0"/>
        <c:ser>
          <c:idx val="1"/>
          <c:order val="1"/>
          <c:tx>
            <c:strRef>
              <c:f>'Summary &amp; Charts'!$A$8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Charts'!$B$4:$K$4</c:f>
              <c:strCache>
                <c:ptCount val="10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</c:strCache>
            </c:strRef>
          </c:cat>
          <c:val>
            <c:numRef>
              <c:f>'Summary &amp; Charts'!$B$8:$K$8</c:f>
              <c:numCache>
                <c:formatCode>0.0%;\(0.0%\);\-</c:formatCode>
                <c:ptCount val="10"/>
                <c:pt idx="0">
                  <c:v>0.27669305464292793</c:v>
                </c:pt>
                <c:pt idx="1">
                  <c:v>0.26283831134845514</c:v>
                </c:pt>
                <c:pt idx="2">
                  <c:v>0.26293001457078452</c:v>
                </c:pt>
                <c:pt idx="3">
                  <c:v>0.26400573389105608</c:v>
                </c:pt>
                <c:pt idx="4">
                  <c:v>0.25418225532823263</c:v>
                </c:pt>
                <c:pt idx="5">
                  <c:v>0.27</c:v>
                </c:pt>
                <c:pt idx="6">
                  <c:v>0.27</c:v>
                </c:pt>
                <c:pt idx="7">
                  <c:v>0.27</c:v>
                </c:pt>
                <c:pt idx="8">
                  <c:v>0.27</c:v>
                </c:pt>
                <c:pt idx="9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55-4806-961E-1FD622C34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267899"/>
        <c:axId val="97242212"/>
      </c:lineChart>
      <c:catAx>
        <c:axId val="2572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469418"/>
        <c:crosses val="autoZero"/>
        <c:auto val="1"/>
        <c:lblAlgn val="ctr"/>
        <c:lblOffset val="100"/>
        <c:noMultiLvlLbl val="0"/>
      </c:catAx>
      <c:valAx>
        <c:axId val="7346941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725312"/>
        <c:crosses val="autoZero"/>
        <c:crossBetween val="between"/>
      </c:valAx>
      <c:catAx>
        <c:axId val="72678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242212"/>
        <c:crosses val="autoZero"/>
        <c:auto val="1"/>
        <c:lblAlgn val="ctr"/>
        <c:lblOffset val="100"/>
        <c:noMultiLvlLbl val="0"/>
      </c:catAx>
      <c:valAx>
        <c:axId val="9724221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EBITDA 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6789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and EPS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&amp; Charts'!$A$9</c:f>
              <c:strCache>
                <c:ptCount val="1"/>
                <c:pt idx="0">
                  <c:v>Profit attributable to shareholders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Charts'!$B$4:$K$4</c:f>
              <c:strCache>
                <c:ptCount val="10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</c:strCache>
            </c:strRef>
          </c:cat>
          <c:val>
            <c:numRef>
              <c:f>'Summary &amp; Charts'!$B$9:$K$9</c:f>
              <c:numCache>
                <c:formatCode>#,##0;\(#,##0\);\-</c:formatCode>
                <c:ptCount val="10"/>
                <c:pt idx="0">
                  <c:v>38327</c:v>
                </c:pt>
                <c:pt idx="1">
                  <c:v>42147</c:v>
                </c:pt>
                <c:pt idx="2">
                  <c:v>45908</c:v>
                </c:pt>
                <c:pt idx="3">
                  <c:v>48553</c:v>
                </c:pt>
                <c:pt idx="4">
                  <c:v>49210</c:v>
                </c:pt>
                <c:pt idx="5">
                  <c:v>53891.558056054586</c:v>
                </c:pt>
                <c:pt idx="6">
                  <c:v>56921.58899200266</c:v>
                </c:pt>
                <c:pt idx="7">
                  <c:v>60481.602610579859</c:v>
                </c:pt>
                <c:pt idx="8">
                  <c:v>64266.691892134993</c:v>
                </c:pt>
                <c:pt idx="9">
                  <c:v>68242.081176377382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C-4C15-A178-3F58553C6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36325"/>
        <c:axId val="38192471"/>
      </c:barChart>
      <c:lineChart>
        <c:grouping val="standard"/>
        <c:varyColors val="0"/>
        <c:ser>
          <c:idx val="1"/>
          <c:order val="1"/>
          <c:tx>
            <c:strRef>
              <c:f>'Summary &amp; Charts'!$A$11</c:f>
              <c:strCache>
                <c:ptCount val="1"/>
                <c:pt idx="0">
                  <c:v>EPS (₹)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Charts'!$B$4:$K$4</c:f>
              <c:strCache>
                <c:ptCount val="10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</c:strCache>
            </c:strRef>
          </c:cat>
          <c:val>
            <c:numRef>
              <c:f>'Summary &amp; Charts'!$B$11:$K$11</c:f>
              <c:numCache>
                <c:formatCode>0.00</c:formatCode>
                <c:ptCount val="10"/>
                <c:pt idx="0">
                  <c:v>103.61919108363335</c:v>
                </c:pt>
                <c:pt idx="1">
                  <c:v>115.18559239425034</c:v>
                </c:pt>
                <c:pt idx="2">
                  <c:v>125.88392148668515</c:v>
                </c:pt>
                <c:pt idx="3">
                  <c:v>134.19520605416159</c:v>
                </c:pt>
                <c:pt idx="4">
                  <c:v>136.01108252683235</c:v>
                </c:pt>
                <c:pt idx="5">
                  <c:v>148.95039931439985</c:v>
                </c:pt>
                <c:pt idx="6">
                  <c:v>157.32507494309502</c:v>
                </c:pt>
                <c:pt idx="7">
                  <c:v>167.16456500757278</c:v>
                </c:pt>
                <c:pt idx="8">
                  <c:v>177.62613970062344</c:v>
                </c:pt>
                <c:pt idx="9">
                  <c:v>188.61368288321594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C-4C15-A178-3F58553C6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9349752"/>
        <c:axId val="1305759"/>
      </c:lineChart>
      <c:catAx>
        <c:axId val="153363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192471"/>
        <c:crosses val="autoZero"/>
        <c:auto val="1"/>
        <c:lblAlgn val="ctr"/>
        <c:lblOffset val="100"/>
        <c:noMultiLvlLbl val="0"/>
      </c:catAx>
      <c:valAx>
        <c:axId val="3819247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336325"/>
        <c:crosses val="autoZero"/>
        <c:crossBetween val="between"/>
      </c:valAx>
      <c:catAx>
        <c:axId val="29349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5759"/>
        <c:crosses val="autoZero"/>
        <c:auto val="1"/>
        <c:lblAlgn val="ctr"/>
        <c:lblOffset val="100"/>
        <c:noMultiLvlLbl val="0"/>
      </c:catAx>
      <c:valAx>
        <c:axId val="130575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EPS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34975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Cash generation and 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&amp; Charts'!$A$12</c:f>
              <c:strCache>
                <c:ptCount val="1"/>
                <c:pt idx="0">
                  <c:v>Cash from operations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Charts'!$B$4:$K$4</c:f>
              <c:strCache>
                <c:ptCount val="10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</c:strCache>
            </c:strRef>
          </c:cat>
          <c:val>
            <c:numRef>
              <c:f>'Summary &amp; Charts'!$B$12:$K$12</c:f>
              <c:numCache>
                <c:formatCode>#,##0;\(#,##0\);\-</c:formatCode>
                <c:ptCount val="10"/>
                <c:pt idx="0">
                  <c:v>39949</c:v>
                </c:pt>
                <c:pt idx="1">
                  <c:v>41965</c:v>
                </c:pt>
                <c:pt idx="2">
                  <c:v>44338</c:v>
                </c:pt>
                <c:pt idx="3">
                  <c:v>48908</c:v>
                </c:pt>
                <c:pt idx="4">
                  <c:v>52094</c:v>
                </c:pt>
                <c:pt idx="5">
                  <c:v>56038.753630986597</c:v>
                </c:pt>
                <c:pt idx="6">
                  <c:v>59455.08425449051</c:v>
                </c:pt>
                <c:pt idx="7">
                  <c:v>62818.526144116833</c:v>
                </c:pt>
                <c:pt idx="8">
                  <c:v>65674.893110155142</c:v>
                </c:pt>
                <c:pt idx="9">
                  <c:v>69574.317078158463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1-4054-A013-EEBC60EB7180}"/>
            </c:ext>
          </c:extLst>
        </c:ser>
        <c:ser>
          <c:idx val="1"/>
          <c:order val="1"/>
          <c:tx>
            <c:strRef>
              <c:f>'Summary &amp; Charts'!$A$13</c:f>
              <c:strCache>
                <c:ptCount val="1"/>
                <c:pt idx="0">
                  <c:v>Capex (PP&amp;E + intangibles)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Charts'!$B$4:$K$4</c:f>
              <c:strCache>
                <c:ptCount val="10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</c:strCache>
            </c:strRef>
          </c:cat>
          <c:val>
            <c:numRef>
              <c:f>'Summary &amp; Charts'!$B$13:$K$13</c:f>
              <c:numCache>
                <c:formatCode>#,##0;\(#,##0\);\-</c:formatCode>
                <c:ptCount val="10"/>
                <c:pt idx="0">
                  <c:v>2995</c:v>
                </c:pt>
                <c:pt idx="1">
                  <c:v>3100</c:v>
                </c:pt>
                <c:pt idx="2">
                  <c:v>2674</c:v>
                </c:pt>
                <c:pt idx="3">
                  <c:v>3937</c:v>
                </c:pt>
                <c:pt idx="4">
                  <c:v>4146</c:v>
                </c:pt>
                <c:pt idx="5">
                  <c:v>4205.5807500000001</c:v>
                </c:pt>
                <c:pt idx="6">
                  <c:v>4436.88769125</c:v>
                </c:pt>
                <c:pt idx="7">
                  <c:v>4703.1009527249998</c:v>
                </c:pt>
                <c:pt idx="8">
                  <c:v>4985.2870098884996</c:v>
                </c:pt>
                <c:pt idx="9">
                  <c:v>5284.4042304818104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31-4054-A013-EEBC60EB7180}"/>
            </c:ext>
          </c:extLst>
        </c:ser>
        <c:ser>
          <c:idx val="2"/>
          <c:order val="2"/>
          <c:tx>
            <c:strRef>
              <c:f>'Summary &amp; Charts'!$A$14</c:f>
              <c:strCache>
                <c:ptCount val="1"/>
                <c:pt idx="0">
                  <c:v>Free cash flow (CFO - capex)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Charts'!$B$4:$K$4</c:f>
              <c:strCache>
                <c:ptCount val="10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</c:strCache>
            </c:strRef>
          </c:cat>
          <c:val>
            <c:numRef>
              <c:f>'Summary &amp; Charts'!$B$14:$K$14</c:f>
              <c:numCache>
                <c:formatCode>#,##0;\(#,##0\);\-</c:formatCode>
                <c:ptCount val="10"/>
                <c:pt idx="0">
                  <c:v>36954</c:v>
                </c:pt>
                <c:pt idx="1">
                  <c:v>38865</c:v>
                </c:pt>
                <c:pt idx="2">
                  <c:v>41664</c:v>
                </c:pt>
                <c:pt idx="3">
                  <c:v>44971</c:v>
                </c:pt>
                <c:pt idx="4">
                  <c:v>47948</c:v>
                </c:pt>
                <c:pt idx="5">
                  <c:v>51833.172880986596</c:v>
                </c:pt>
                <c:pt idx="6">
                  <c:v>55018.196563240512</c:v>
                </c:pt>
                <c:pt idx="7">
                  <c:v>58115.425191391834</c:v>
                </c:pt>
                <c:pt idx="8">
                  <c:v>60689.606100266639</c:v>
                </c:pt>
                <c:pt idx="9">
                  <c:v>64289.912847676649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31-4054-A013-EEBC60EB7180}"/>
            </c:ext>
          </c:extLst>
        </c:ser>
        <c:ser>
          <c:idx val="3"/>
          <c:order val="3"/>
          <c:tx>
            <c:strRef>
              <c:f>'Summary &amp; Charts'!$A$15</c:f>
              <c:strCache>
                <c:ptCount val="1"/>
                <c:pt idx="0">
                  <c:v>Dividends paid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Charts'!$B$4:$K$4</c:f>
              <c:strCache>
                <c:ptCount val="10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</c:strCache>
            </c:strRef>
          </c:cat>
          <c:val>
            <c:numRef>
              <c:f>'Summary &amp; Charts'!$B$15:$K$15</c:f>
              <c:numCache>
                <c:formatCode>#,##0;\(#,##0\);\-</c:formatCode>
                <c:ptCount val="10"/>
                <c:pt idx="0">
                  <c:v>13375</c:v>
                </c:pt>
                <c:pt idx="1">
                  <c:v>41410</c:v>
                </c:pt>
                <c:pt idx="2">
                  <c:v>25218</c:v>
                </c:pt>
                <c:pt idx="3">
                  <c:v>44962</c:v>
                </c:pt>
                <c:pt idx="4">
                  <c:v>39571</c:v>
                </c:pt>
                <c:pt idx="5">
                  <c:v>45807.824347646398</c:v>
                </c:pt>
                <c:pt idx="6">
                  <c:v>48383.350643202262</c:v>
                </c:pt>
                <c:pt idx="7">
                  <c:v>51409.362218992879</c:v>
                </c:pt>
                <c:pt idx="8">
                  <c:v>54626.688108314745</c:v>
                </c:pt>
                <c:pt idx="9">
                  <c:v>58005.768999920772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31-4054-A013-EEBC60EB7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359740"/>
        <c:axId val="95217503"/>
      </c:barChart>
      <c:catAx>
        <c:axId val="933597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217503"/>
        <c:crosses val="autoZero"/>
        <c:auto val="1"/>
        <c:lblAlgn val="ctr"/>
        <c:lblOffset val="100"/>
        <c:noMultiLvlLbl val="0"/>
      </c:catAx>
      <c:valAx>
        <c:axId val="9521750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3597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Closing cash and total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&amp; Charts'!$A$16</c:f>
              <c:strCache>
                <c:ptCount val="1"/>
                <c:pt idx="0">
                  <c:v>Closing cash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Charts'!$B$4:$K$4</c:f>
              <c:strCache>
                <c:ptCount val="10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</c:strCache>
            </c:strRef>
          </c:cat>
          <c:val>
            <c:numRef>
              <c:f>'Summary &amp; Charts'!$B$16:$K$16</c:f>
              <c:numCache>
                <c:formatCode>#,##0;\(#,##0\);\-</c:formatCode>
                <c:ptCount val="10"/>
                <c:pt idx="0">
                  <c:v>12488</c:v>
                </c:pt>
                <c:pt idx="1">
                  <c:v>7123</c:v>
                </c:pt>
                <c:pt idx="2">
                  <c:v>9016</c:v>
                </c:pt>
                <c:pt idx="3">
                  <c:v>8342</c:v>
                </c:pt>
                <c:pt idx="4">
                  <c:v>6417</c:v>
                </c:pt>
                <c:pt idx="5">
                  <c:v>10883.263141840209</c:v>
                </c:pt>
                <c:pt idx="6">
                  <c:v>15340.011039783967</c:v>
                </c:pt>
                <c:pt idx="7">
                  <c:v>19699.959314021267</c:v>
                </c:pt>
                <c:pt idx="8">
                  <c:v>23456.712006701382</c:v>
                </c:pt>
                <c:pt idx="9">
                  <c:v>27427.627440179727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AE-469F-AF8F-2ED9454D80C3}"/>
            </c:ext>
          </c:extLst>
        </c:ser>
        <c:ser>
          <c:idx val="1"/>
          <c:order val="1"/>
          <c:tx>
            <c:strRef>
              <c:f>'Summary &amp; Charts'!$A$17</c:f>
              <c:strCache>
                <c:ptCount val="1"/>
                <c:pt idx="0">
                  <c:v>Total equity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Charts'!$B$4:$K$4</c:f>
              <c:strCache>
                <c:ptCount val="10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</c:strCache>
            </c:strRef>
          </c:cat>
          <c:val>
            <c:numRef>
              <c:f>'Summary &amp; Charts'!$B$17:$K$17</c:f>
              <c:numCache>
                <c:formatCode>#,##0;\(#,##0\);\-</c:formatCode>
                <c:ptCount val="10"/>
                <c:pt idx="0">
                  <c:v>89846</c:v>
                </c:pt>
                <c:pt idx="1">
                  <c:v>91206</c:v>
                </c:pt>
                <c:pt idx="2">
                  <c:v>91319</c:v>
                </c:pt>
                <c:pt idx="3">
                  <c:v>95771</c:v>
                </c:pt>
                <c:pt idx="4">
                  <c:v>108478</c:v>
                </c:pt>
                <c:pt idx="5">
                  <c:v>116832.5455579361</c:v>
                </c:pt>
                <c:pt idx="6">
                  <c:v>125656.82204237471</c:v>
                </c:pt>
                <c:pt idx="7">
                  <c:v>135032.99008527116</c:v>
                </c:pt>
                <c:pt idx="8">
                  <c:v>144995.94206955438</c:v>
                </c:pt>
                <c:pt idx="9">
                  <c:v>155575.17927704804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AE-469F-AF8F-2ED9454D8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303067"/>
        <c:axId val="664920"/>
      </c:lineChart>
      <c:catAx>
        <c:axId val="853030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4920"/>
        <c:crosses val="autoZero"/>
        <c:auto val="1"/>
        <c:lblAlgn val="ctr"/>
        <c:lblOffset val="100"/>
        <c:noMultiLvlLbl val="0"/>
      </c:catAx>
      <c:valAx>
        <c:axId val="66492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3030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175680</xdr:rowOff>
    </xdr:from>
    <xdr:to>
      <xdr:col>4</xdr:col>
      <xdr:colOff>402840</xdr:colOff>
      <xdr:row>35</xdr:row>
      <xdr:rowOff>7560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175680</xdr:rowOff>
    </xdr:from>
    <xdr:to>
      <xdr:col>12</xdr:col>
      <xdr:colOff>214200</xdr:colOff>
      <xdr:row>35</xdr:row>
      <xdr:rowOff>7560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36</xdr:row>
      <xdr:rowOff>175680</xdr:rowOff>
    </xdr:from>
    <xdr:to>
      <xdr:col>4</xdr:col>
      <xdr:colOff>402840</xdr:colOff>
      <xdr:row>52</xdr:row>
      <xdr:rowOff>7560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36</xdr:row>
      <xdr:rowOff>175680</xdr:rowOff>
    </xdr:from>
    <xdr:to>
      <xdr:col>12</xdr:col>
      <xdr:colOff>214200</xdr:colOff>
      <xdr:row>52</xdr:row>
      <xdr:rowOff>7560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ED65D4B-3B58-4F89-B3D0-AC3B6BC709B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ff94f12-defe-4bfb-9f11-77b4adf80cd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155"/>
  <sheetViews>
    <sheetView showGridLines="0" tabSelected="1" zoomScale="73" zoomScaleNormal="66" workbookViewId="0">
      <pane ySplit="6" topLeftCell="A7" activePane="bottomLeft" state="frozen"/>
      <selection pane="bottomLeft" activeCell="A159" sqref="A159"/>
    </sheetView>
  </sheetViews>
  <sheetFormatPr defaultColWidth="8.6328125" defaultRowHeight="14.5" outlineLevelRow="1" x14ac:dyDescent="0.35"/>
  <cols>
    <col min="1" max="1" width="56" customWidth="1"/>
    <col min="2" max="11" width="11" customWidth="1"/>
    <col min="12" max="12" width="70" customWidth="1"/>
  </cols>
  <sheetData>
    <row r="2" spans="1:12" ht="16.5" x14ac:dyDescent="0.3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2" t="s">
        <v>171</v>
      </c>
    </row>
    <row r="5" spans="1:12" x14ac:dyDescent="0.35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3" t="s">
        <v>12</v>
      </c>
    </row>
    <row r="6" spans="1:12" x14ac:dyDescent="0.35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3"/>
    </row>
    <row r="7" spans="1:12" x14ac:dyDescent="0.35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3"/>
    </row>
    <row r="8" spans="1:12" ht="22.5" customHeight="1" x14ac:dyDescent="0.35">
      <c r="A8" s="6" t="s">
        <v>172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hidden="1" outlineLevel="1" x14ac:dyDescent="0.35">
      <c r="A9" s="7" t="s">
        <v>13</v>
      </c>
    </row>
    <row r="10" spans="1:12" ht="36" hidden="1" customHeight="1" outlineLevel="1" x14ac:dyDescent="0.35">
      <c r="A10" s="8" t="s">
        <v>14</v>
      </c>
      <c r="B10" s="9"/>
      <c r="C10" s="9">
        <f>C41/B41-1</f>
        <v>0.17576686796624852</v>
      </c>
      <c r="D10" s="9">
        <f>D41/C41-1</f>
        <v>6.8460644554639849E-2</v>
      </c>
      <c r="E10" s="9">
        <f>E41/D41-1</f>
        <v>5.9906265437351891E-2</v>
      </c>
      <c r="F10" s="9">
        <f>F41/E41-1</f>
        <v>4.581237956478823E-2</v>
      </c>
      <c r="G10" s="10">
        <v>0.05</v>
      </c>
      <c r="H10" s="10">
        <v>5.5E-2</v>
      </c>
      <c r="I10" s="10">
        <v>0.06</v>
      </c>
      <c r="J10" s="10">
        <v>0.06</v>
      </c>
      <c r="K10" s="10">
        <v>0.06</v>
      </c>
      <c r="L10" s="35" t="s">
        <v>15</v>
      </c>
    </row>
    <row r="11" spans="1:12" ht="36" hidden="1" customHeight="1" outlineLevel="1" x14ac:dyDescent="0.35">
      <c r="A11" s="8" t="s">
        <v>16</v>
      </c>
      <c r="B11" s="9">
        <f>B42/B41</f>
        <v>0.56696079351669326</v>
      </c>
      <c r="C11" s="9">
        <f>C42/C41</f>
        <v>0.5739561248658287</v>
      </c>
      <c r="D11" s="9">
        <f>D42/D41</f>
        <v>0.59708252211562807</v>
      </c>
      <c r="E11" s="9">
        <f>E42/E41</f>
        <v>0.61661261769359721</v>
      </c>
      <c r="F11" s="9">
        <f>F42/F41</f>
        <v>0.59693057849382636</v>
      </c>
      <c r="G11" s="10">
        <v>0.6</v>
      </c>
      <c r="H11" s="10">
        <v>0.6</v>
      </c>
      <c r="I11" s="10">
        <v>0.6</v>
      </c>
      <c r="J11" s="10">
        <v>0.6</v>
      </c>
      <c r="K11" s="10">
        <v>0.6</v>
      </c>
      <c r="L11" s="35" t="s">
        <v>17</v>
      </c>
    </row>
    <row r="12" spans="1:12" ht="36" hidden="1" customHeight="1" outlineLevel="1" x14ac:dyDescent="0.35">
      <c r="A12" s="8" t="s">
        <v>18</v>
      </c>
      <c r="B12" s="9">
        <f>B44/B41</f>
        <v>0.15634615184037881</v>
      </c>
      <c r="C12" s="9">
        <f>C44/C41</f>
        <v>0.16320556378571618</v>
      </c>
      <c r="D12" s="9">
        <f>D44/D41</f>
        <v>0.13998746331358736</v>
      </c>
      <c r="E12" s="9">
        <f>E44/E41</f>
        <v>0.11938164841534678</v>
      </c>
      <c r="F12" s="9">
        <f>F44/F41</f>
        <v>0.14888716617794107</v>
      </c>
      <c r="G12" s="10">
        <v>0.13</v>
      </c>
      <c r="H12" s="10">
        <v>0.13</v>
      </c>
      <c r="I12" s="10">
        <v>0.13</v>
      </c>
      <c r="J12" s="10">
        <v>0.13</v>
      </c>
      <c r="K12" s="10">
        <v>0.13</v>
      </c>
      <c r="L12" s="35" t="s">
        <v>19</v>
      </c>
    </row>
    <row r="13" spans="1:12" ht="36" hidden="1" customHeight="1" outlineLevel="1" x14ac:dyDescent="0.35">
      <c r="A13" s="8" t="s">
        <v>20</v>
      </c>
      <c r="B13" s="9"/>
      <c r="C13" s="9">
        <f>C48/(B67+B65)</f>
        <v>6.6685829261281984E-2</v>
      </c>
      <c r="D13" s="9">
        <f>D48/(C67+C65)</f>
        <v>7.8452121589376492E-2</v>
      </c>
      <c r="E13" s="9">
        <f>E48/(D67+D65)</f>
        <v>7.3166400284141356E-2</v>
      </c>
      <c r="F13" s="9">
        <f>F48/(E67+E65)</f>
        <v>8.3012040407521484E-2</v>
      </c>
      <c r="G13" s="10">
        <v>7.4999999999999997E-2</v>
      </c>
      <c r="H13" s="10">
        <v>7.4999999999999997E-2</v>
      </c>
      <c r="I13" s="10">
        <v>7.4999999999999997E-2</v>
      </c>
      <c r="J13" s="10">
        <v>7.4999999999999997E-2</v>
      </c>
      <c r="K13" s="10">
        <v>7.4999999999999997E-2</v>
      </c>
      <c r="L13" s="35" t="s">
        <v>21</v>
      </c>
    </row>
    <row r="14" spans="1:12" ht="36" hidden="1" customHeight="1" outlineLevel="1" x14ac:dyDescent="0.35">
      <c r="A14" s="8" t="s">
        <v>22</v>
      </c>
      <c r="B14" s="9">
        <f>B49/B41</f>
        <v>7.0663454217382692E-3</v>
      </c>
      <c r="C14" s="9">
        <f>C49/C41</f>
        <v>8.9151859769890621E-4</v>
      </c>
      <c r="D14" s="9">
        <f>D49/D41</f>
        <v>2.660932447186095E-3</v>
      </c>
      <c r="E14" s="9">
        <f>E49/E41</f>
        <v>2.6084504394416506E-3</v>
      </c>
      <c r="F14" s="9">
        <f>F49/F41</f>
        <v>2.052273042195183E-3</v>
      </c>
      <c r="G14" s="10">
        <v>2E-3</v>
      </c>
      <c r="H14" s="10">
        <v>2E-3</v>
      </c>
      <c r="I14" s="10">
        <v>2E-3</v>
      </c>
      <c r="J14" s="10">
        <v>2E-3</v>
      </c>
      <c r="K14" s="10">
        <v>2E-3</v>
      </c>
      <c r="L14" s="35" t="s">
        <v>168</v>
      </c>
    </row>
    <row r="15" spans="1:12" ht="36" hidden="1" customHeight="1" outlineLevel="1" x14ac:dyDescent="0.35">
      <c r="A15" s="8" t="s">
        <v>23</v>
      </c>
      <c r="B15" s="9">
        <f>B52/B51</f>
        <v>0.25611855979259773</v>
      </c>
      <c r="C15" s="9">
        <f>C52/C51</f>
        <v>0.25662923717644576</v>
      </c>
      <c r="D15" s="9">
        <f>D52/D51</f>
        <v>0.25643176282723357</v>
      </c>
      <c r="E15" s="9">
        <f>E52/E51</f>
        <v>0.25308046715954141</v>
      </c>
      <c r="F15" s="9">
        <f>F52/F51</f>
        <v>0.24482721761571</v>
      </c>
      <c r="G15" s="10">
        <v>0.255</v>
      </c>
      <c r="H15" s="10">
        <v>0.255</v>
      </c>
      <c r="I15" s="10">
        <v>0.255</v>
      </c>
      <c r="J15" s="10">
        <v>0.255</v>
      </c>
      <c r="K15" s="10">
        <v>0.255</v>
      </c>
      <c r="L15" s="35" t="s">
        <v>24</v>
      </c>
    </row>
    <row r="16" spans="1:12" ht="36" hidden="1" customHeight="1" outlineLevel="1" x14ac:dyDescent="0.35">
      <c r="A16" s="8" t="s">
        <v>25</v>
      </c>
      <c r="B16" s="9">
        <f>B54/B53</f>
        <v>3.1730344092174047E-3</v>
      </c>
      <c r="C16" s="9">
        <f>C54/C53</f>
        <v>3.687681724700376E-3</v>
      </c>
      <c r="D16" s="9">
        <f>D54/D53</f>
        <v>4.1432569036204689E-3</v>
      </c>
      <c r="E16" s="9">
        <f>E54/E53</f>
        <v>5.0003073959464725E-3</v>
      </c>
      <c r="F16" s="9">
        <f>F54/F53</f>
        <v>4.9338779471832413E-3</v>
      </c>
      <c r="G16" s="10">
        <v>5.0000000000000001E-3</v>
      </c>
      <c r="H16" s="10">
        <v>5.0000000000000001E-3</v>
      </c>
      <c r="I16" s="10">
        <v>5.0000000000000001E-3</v>
      </c>
      <c r="J16" s="10">
        <v>5.0000000000000001E-3</v>
      </c>
      <c r="K16" s="10">
        <v>5.0000000000000001E-3</v>
      </c>
      <c r="L16" s="35" t="s">
        <v>26</v>
      </c>
    </row>
    <row r="17" spans="1:12" ht="36" hidden="1" customHeight="1" outlineLevel="1" x14ac:dyDescent="0.35">
      <c r="A17" s="8" t="s">
        <v>27</v>
      </c>
      <c r="B17" s="11">
        <f>B56</f>
        <v>369.8832195</v>
      </c>
      <c r="C17" s="11">
        <f>C56</f>
        <v>365.90513729999998</v>
      </c>
      <c r="D17" s="11">
        <f>D56</f>
        <v>364.68517550000001</v>
      </c>
      <c r="E17" s="11">
        <f>E56</f>
        <v>361.80875179999998</v>
      </c>
      <c r="F17" s="11">
        <f>F56</f>
        <v>361.80875179999998</v>
      </c>
      <c r="G17" s="12">
        <v>361.80875179999998</v>
      </c>
      <c r="H17" s="12">
        <v>361.80875179999998</v>
      </c>
      <c r="I17" s="12">
        <v>361.80875179999998</v>
      </c>
      <c r="J17" s="12">
        <v>361.80875179999998</v>
      </c>
      <c r="K17" s="12">
        <v>361.80875179999998</v>
      </c>
      <c r="L17" s="35" t="s">
        <v>28</v>
      </c>
    </row>
    <row r="18" spans="1:12" hidden="1" outlineLevel="1" x14ac:dyDescent="0.35">
      <c r="A18" s="7" t="s">
        <v>29</v>
      </c>
    </row>
    <row r="19" spans="1:12" ht="36" hidden="1" customHeight="1" outlineLevel="1" x14ac:dyDescent="0.35">
      <c r="A19" s="8" t="s">
        <v>30</v>
      </c>
      <c r="B19" s="9">
        <f>-B91/B41</f>
        <v>1.3027107648341104E-2</v>
      </c>
      <c r="C19" s="9">
        <f>-C91/C41</f>
        <v>1.2175216670067152E-2</v>
      </c>
      <c r="D19" s="9">
        <f>-D91/D41</f>
        <v>9.265524527487308E-3</v>
      </c>
      <c r="E19" s="9">
        <f>-E91/E41</f>
        <v>1.1722360608481773E-2</v>
      </c>
      <c r="F19" s="9">
        <f>-F91/F41</f>
        <v>1.4152444938787586E-2</v>
      </c>
      <c r="G19" s="10">
        <v>1.2999999999999999E-2</v>
      </c>
      <c r="H19" s="10">
        <v>1.2999999999999999E-2</v>
      </c>
      <c r="I19" s="10">
        <v>1.2999999999999999E-2</v>
      </c>
      <c r="J19" s="10">
        <v>1.2999999999999999E-2</v>
      </c>
      <c r="K19" s="10">
        <v>1.2999999999999999E-2</v>
      </c>
      <c r="L19" s="36" t="s">
        <v>185</v>
      </c>
    </row>
    <row r="20" spans="1:12" ht="36" hidden="1" customHeight="1" outlineLevel="1" x14ac:dyDescent="0.35">
      <c r="A20" s="8" t="s">
        <v>31</v>
      </c>
      <c r="B20" s="9"/>
      <c r="C20" s="9">
        <f>(B61-C91-C61)/B61</f>
        <v>0.27214291677101593</v>
      </c>
      <c r="D20" s="9">
        <f>(C61-D91-D61)/C61</f>
        <v>0.24040474528960223</v>
      </c>
      <c r="E20" s="9">
        <f>(D61-E91-E61)/D61</f>
        <v>0.12879341864716637</v>
      </c>
      <c r="F20" s="9">
        <f>(E61-F91-F61)/E61</f>
        <v>0.20808048546790162</v>
      </c>
      <c r="G20" s="10">
        <v>0.23</v>
      </c>
      <c r="H20" s="10">
        <v>0.23</v>
      </c>
      <c r="I20" s="10">
        <v>0.23</v>
      </c>
      <c r="J20" s="10">
        <v>0.23</v>
      </c>
      <c r="K20" s="10">
        <v>0.23</v>
      </c>
      <c r="L20" s="35" t="s">
        <v>32</v>
      </c>
    </row>
    <row r="21" spans="1:12" ht="36" hidden="1" customHeight="1" outlineLevel="1" x14ac:dyDescent="0.35">
      <c r="A21" s="8" t="s">
        <v>33</v>
      </c>
      <c r="B21" s="9">
        <f>-B92/B41</f>
        <v>2.5918624904825976E-3</v>
      </c>
      <c r="C21" s="9">
        <f>-C92/C41</f>
        <v>1.5745726476771727E-3</v>
      </c>
      <c r="D21" s="9">
        <f>-D92/D41</f>
        <v>1.8348395345651389E-3</v>
      </c>
      <c r="E21" s="9">
        <f>-E92/E41</f>
        <v>3.6972630853347121E-3</v>
      </c>
      <c r="F21" s="9">
        <f>-F92/F41</f>
        <v>1.3744237344628326E-3</v>
      </c>
      <c r="G21" s="10">
        <v>2E-3</v>
      </c>
      <c r="H21" s="10">
        <v>2E-3</v>
      </c>
      <c r="I21" s="10">
        <v>2E-3</v>
      </c>
      <c r="J21" s="10">
        <v>2E-3</v>
      </c>
      <c r="K21" s="10">
        <v>2E-3</v>
      </c>
      <c r="L21" s="35" t="s">
        <v>34</v>
      </c>
    </row>
    <row r="22" spans="1:12" ht="36" hidden="1" customHeight="1" outlineLevel="1" x14ac:dyDescent="0.35">
      <c r="A22" s="8" t="s">
        <v>35</v>
      </c>
      <c r="B22" s="9"/>
      <c r="C22" s="9">
        <f>(B64-C92-C64)/(B64-C92)</f>
        <v>0.40453296703296704</v>
      </c>
      <c r="D22" s="9">
        <f>(C64-D92-D64)/(C64-D92)</f>
        <v>0.61038961038961037</v>
      </c>
      <c r="E22" s="9">
        <f>(D64-E92-E64)/(D64-E92)</f>
        <v>0.35350756533700139</v>
      </c>
      <c r="F22" s="9">
        <f>(E64-F92-F64)/(E64-F92)</f>
        <v>0.86534047436878347</v>
      </c>
      <c r="G22" s="10">
        <v>0.5</v>
      </c>
      <c r="H22" s="10">
        <v>0.5</v>
      </c>
      <c r="I22" s="10">
        <v>0.5</v>
      </c>
      <c r="J22" s="10">
        <v>0.5</v>
      </c>
      <c r="K22" s="10">
        <v>0.5</v>
      </c>
      <c r="L22" s="35" t="s">
        <v>173</v>
      </c>
    </row>
    <row r="23" spans="1:12" ht="36" hidden="1" customHeight="1" outlineLevel="1" x14ac:dyDescent="0.35">
      <c r="A23" s="8" t="s">
        <v>36</v>
      </c>
      <c r="B23" s="9"/>
      <c r="C23" s="9">
        <f>(C71-B71-C99)/C41</f>
        <v>6.1430510338954481E-3</v>
      </c>
      <c r="D23" s="9">
        <f>(D71-C71-D99)/D41</f>
        <v>8.0824266375527729E-3</v>
      </c>
      <c r="E23" s="9">
        <f>(E71-D71-E99)/E41</f>
        <v>1.1886857483041156E-2</v>
      </c>
      <c r="F23" s="9">
        <f>(F71-E71-F99)/F41</f>
        <v>1.4051329296197677E-2</v>
      </c>
      <c r="G23" s="10">
        <v>1.2E-2</v>
      </c>
      <c r="H23" s="10">
        <v>1.2E-2</v>
      </c>
      <c r="I23" s="10">
        <v>1.2E-2</v>
      </c>
      <c r="J23" s="10">
        <v>1.2E-2</v>
      </c>
      <c r="K23" s="10">
        <v>1.2E-2</v>
      </c>
      <c r="L23" s="35" t="s">
        <v>37</v>
      </c>
    </row>
    <row r="24" spans="1:12" ht="36" hidden="1" customHeight="1" outlineLevel="1" x14ac:dyDescent="0.35">
      <c r="A24" s="8" t="s">
        <v>38</v>
      </c>
      <c r="B24" s="9"/>
      <c r="C24" s="9">
        <f>(B62+C71-B71-C99-C62)/B62</f>
        <v>0.19133053954950235</v>
      </c>
      <c r="D24" s="9">
        <f>(C62+D71-C71-D99-D62)/C62</f>
        <v>0.21441798941798942</v>
      </c>
      <c r="E24" s="9">
        <f>(D62+E71-D71-E99-E62)/D62</f>
        <v>0.20872432158255136</v>
      </c>
      <c r="F24" s="9">
        <f>(E62+F71-E71-F99-F62)/E62</f>
        <v>0.215633423180593</v>
      </c>
      <c r="G24" s="10">
        <v>0.21</v>
      </c>
      <c r="H24" s="10">
        <v>0.21</v>
      </c>
      <c r="I24" s="10">
        <v>0.21</v>
      </c>
      <c r="J24" s="10">
        <v>0.21</v>
      </c>
      <c r="K24" s="10">
        <v>0.21</v>
      </c>
      <c r="L24" s="35" t="s">
        <v>39</v>
      </c>
    </row>
    <row r="25" spans="1:12" ht="36" hidden="1" customHeight="1" outlineLevel="1" x14ac:dyDescent="0.35">
      <c r="A25" s="8" t="s">
        <v>40</v>
      </c>
      <c r="B25" s="13">
        <f>-B94</f>
        <v>0</v>
      </c>
      <c r="C25" s="13">
        <f>-C94</f>
        <v>0</v>
      </c>
      <c r="D25" s="13">
        <f>-D94</f>
        <v>0</v>
      </c>
      <c r="E25" s="13">
        <f>-E94</f>
        <v>1063</v>
      </c>
      <c r="F25" s="13">
        <f>-F94</f>
        <v>7554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35" t="s">
        <v>174</v>
      </c>
    </row>
    <row r="26" spans="1:12" hidden="1" outlineLevel="1" x14ac:dyDescent="0.35">
      <c r="A26" s="7" t="s">
        <v>41</v>
      </c>
    </row>
    <row r="27" spans="1:12" ht="36" hidden="1" customHeight="1" outlineLevel="1" x14ac:dyDescent="0.35">
      <c r="A27" s="8" t="s">
        <v>42</v>
      </c>
      <c r="B27" s="15">
        <f>B66/B41*365</f>
        <v>79.584519749262071</v>
      </c>
      <c r="C27" s="15">
        <f>C66/C41*365</f>
        <v>80.871869705222267</v>
      </c>
      <c r="D27" s="15">
        <f>D66/D41*365</f>
        <v>81.179631620678066</v>
      </c>
      <c r="E27" s="15">
        <f>E66/E41*365</f>
        <v>84.409573718099367</v>
      </c>
      <c r="F27" s="15">
        <f>F66/F41*365</f>
        <v>92.560547672280464</v>
      </c>
      <c r="G27" s="16">
        <v>88</v>
      </c>
      <c r="H27" s="16">
        <v>87</v>
      </c>
      <c r="I27" s="16">
        <v>86</v>
      </c>
      <c r="J27" s="16">
        <v>86</v>
      </c>
      <c r="K27" s="16">
        <v>86</v>
      </c>
      <c r="L27" s="35" t="s">
        <v>175</v>
      </c>
    </row>
    <row r="28" spans="1:12" ht="36" hidden="1" customHeight="1" outlineLevel="1" x14ac:dyDescent="0.35">
      <c r="A28" s="8" t="s">
        <v>43</v>
      </c>
      <c r="B28" s="15">
        <f>B73/(B42+B44)*365</f>
        <v>21.171510558988299</v>
      </c>
      <c r="C28" s="15">
        <f>C73/(C42+C44)*365</f>
        <v>23.092647970204393</v>
      </c>
      <c r="D28" s="15">
        <f>D73/(D42+D44)*365</f>
        <v>20.51795218383036</v>
      </c>
      <c r="E28" s="15">
        <f>E73/(E42+E44)*365</f>
        <v>27.016102853919552</v>
      </c>
      <c r="F28" s="15">
        <f>F73/(F42+F44)*365</f>
        <v>27.140081044845818</v>
      </c>
      <c r="G28" s="16">
        <v>25</v>
      </c>
      <c r="H28" s="16">
        <v>25</v>
      </c>
      <c r="I28" s="16">
        <v>25</v>
      </c>
      <c r="J28" s="16">
        <v>25</v>
      </c>
      <c r="K28" s="16">
        <v>25</v>
      </c>
      <c r="L28" s="35" t="s">
        <v>44</v>
      </c>
    </row>
    <row r="29" spans="1:12" ht="36" hidden="1" customHeight="1" outlineLevel="1" x14ac:dyDescent="0.35">
      <c r="A29" s="8" t="s">
        <v>45</v>
      </c>
      <c r="B29" s="9">
        <f>B74/B41</f>
        <v>1.8956579784515579E-2</v>
      </c>
      <c r="C29" s="9">
        <f>C74/C41</f>
        <v>1.7045303338094012E-2</v>
      </c>
      <c r="D29" s="9">
        <f>D74/D41</f>
        <v>1.5110443225830555E-2</v>
      </c>
      <c r="E29" s="9">
        <f>E74/E41</f>
        <v>1.5776033588695147E-2</v>
      </c>
      <c r="F29" s="9">
        <f>F74/F41</f>
        <v>1.6803921788922968E-2</v>
      </c>
      <c r="G29" s="10">
        <v>1.6500000000000001E-2</v>
      </c>
      <c r="H29" s="10">
        <v>1.6500000000000001E-2</v>
      </c>
      <c r="I29" s="10">
        <v>1.6500000000000001E-2</v>
      </c>
      <c r="J29" s="10">
        <v>1.6500000000000001E-2</v>
      </c>
      <c r="K29" s="10">
        <v>1.6500000000000001E-2</v>
      </c>
      <c r="L29" s="35" t="s">
        <v>176</v>
      </c>
    </row>
    <row r="30" spans="1:12" ht="36" hidden="1" customHeight="1" outlineLevel="1" x14ac:dyDescent="0.35">
      <c r="A30" s="8" t="s">
        <v>46</v>
      </c>
      <c r="B30" s="9">
        <f>B68/B41</f>
        <v>0.14860185445935939</v>
      </c>
      <c r="C30" s="9">
        <f>C68/C41</f>
        <v>0.10535443408528418</v>
      </c>
      <c r="D30" s="9">
        <f>D68/D41</f>
        <v>0.11065493808454376</v>
      </c>
      <c r="E30" s="9">
        <f>E68/E41</f>
        <v>0.11576271717504034</v>
      </c>
      <c r="F30" s="9">
        <f>F68/F41</f>
        <v>0.12640953333258434</v>
      </c>
      <c r="G30" s="10">
        <v>0.12</v>
      </c>
      <c r="H30" s="10">
        <v>0.12</v>
      </c>
      <c r="I30" s="10">
        <v>0.12</v>
      </c>
      <c r="J30" s="10">
        <v>0.12</v>
      </c>
      <c r="K30" s="10">
        <v>0.12</v>
      </c>
      <c r="L30" s="35" t="s">
        <v>47</v>
      </c>
    </row>
    <row r="31" spans="1:12" ht="36" hidden="1" customHeight="1" outlineLevel="1" x14ac:dyDescent="0.35">
      <c r="A31" s="8" t="s">
        <v>48</v>
      </c>
      <c r="B31" s="9">
        <f>B75/B41</f>
        <v>0.16776703484673069</v>
      </c>
      <c r="C31" s="9">
        <f>C75/C41</f>
        <v>0.13483220821616443</v>
      </c>
      <c r="D31" s="9">
        <f>D75/D41</f>
        <v>0.1390160776776411</v>
      </c>
      <c r="E31" s="9">
        <f>E75/E41</f>
        <v>0.14306919835189799</v>
      </c>
      <c r="F31" s="9">
        <f>F75/F41</f>
        <v>0.16221945090461051</v>
      </c>
      <c r="G31" s="10">
        <v>0.15</v>
      </c>
      <c r="H31" s="10">
        <v>0.15</v>
      </c>
      <c r="I31" s="10">
        <v>0.15</v>
      </c>
      <c r="J31" s="10">
        <v>0.15</v>
      </c>
      <c r="K31" s="10">
        <v>0.15</v>
      </c>
      <c r="L31" s="35" t="s">
        <v>49</v>
      </c>
    </row>
    <row r="32" spans="1:12" ht="36" hidden="1" customHeight="1" outlineLevel="1" x14ac:dyDescent="0.35">
      <c r="A32" s="8" t="s">
        <v>50</v>
      </c>
      <c r="B32" s="9">
        <f>B65/B41</f>
        <v>0.18887741585573181</v>
      </c>
      <c r="C32" s="9">
        <f>C65/C41</f>
        <v>0.18217140221238545</v>
      </c>
      <c r="D32" s="9">
        <f>D65/D41</f>
        <v>0.14957678305305674</v>
      </c>
      <c r="E32" s="9">
        <f>E65/E41</f>
        <v>0.14916341589509799</v>
      </c>
      <c r="F32" s="9">
        <f>F65/F41</f>
        <v>0.15159481838507083</v>
      </c>
      <c r="G32" s="10">
        <v>0.15</v>
      </c>
      <c r="H32" s="10">
        <v>0.15</v>
      </c>
      <c r="I32" s="10">
        <v>0.15</v>
      </c>
      <c r="J32" s="10">
        <v>0.15</v>
      </c>
      <c r="K32" s="10">
        <v>0.15</v>
      </c>
      <c r="L32" s="35" t="s">
        <v>51</v>
      </c>
    </row>
    <row r="33" spans="1:12" hidden="1" outlineLevel="1" x14ac:dyDescent="0.35">
      <c r="A33" s="7" t="s">
        <v>181</v>
      </c>
    </row>
    <row r="34" spans="1:12" ht="36" hidden="1" customHeight="1" outlineLevel="1" x14ac:dyDescent="0.35">
      <c r="A34" s="8" t="s">
        <v>52</v>
      </c>
      <c r="B34" s="9"/>
      <c r="C34" s="9">
        <f>C50/AVERAGE(C71,B71)</f>
        <v>0.10047723461885721</v>
      </c>
      <c r="D34" s="9">
        <f>D50/AVERAGE(D71,C71)</f>
        <v>9.9051499140620031E-2</v>
      </c>
      <c r="E34" s="9">
        <f>E50/AVERAGE(E71,D71)</f>
        <v>9.1425946132200078E-2</v>
      </c>
      <c r="F34" s="9">
        <f>F50/AVERAGE(F71,E71)</f>
        <v>0.11869407496977026</v>
      </c>
      <c r="G34" s="10">
        <v>0.105</v>
      </c>
      <c r="H34" s="10">
        <v>0.105</v>
      </c>
      <c r="I34" s="10">
        <v>0.105</v>
      </c>
      <c r="J34" s="10">
        <v>0.105</v>
      </c>
      <c r="K34" s="10">
        <v>0.105</v>
      </c>
      <c r="L34" s="35" t="s">
        <v>53</v>
      </c>
    </row>
    <row r="35" spans="1:12" ht="36" hidden="1" customHeight="1" outlineLevel="1" x14ac:dyDescent="0.35">
      <c r="A35" s="8" t="s">
        <v>54</v>
      </c>
      <c r="B35" s="9"/>
      <c r="C35" s="9">
        <f>-C99/B71</f>
        <v>0.19378357636224097</v>
      </c>
      <c r="D35" s="9">
        <f>-D99/C71</f>
        <v>0.20993756503642039</v>
      </c>
      <c r="E35" s="9">
        <f>-E99/D71</f>
        <v>0.20745542949756887</v>
      </c>
      <c r="F35" s="9">
        <f>-F99/E71</f>
        <v>0.1981473594548552</v>
      </c>
      <c r="G35" s="10">
        <v>0.2</v>
      </c>
      <c r="H35" s="10">
        <v>0.2</v>
      </c>
      <c r="I35" s="10">
        <v>0.2</v>
      </c>
      <c r="J35" s="10">
        <v>0.2</v>
      </c>
      <c r="K35" s="10">
        <v>0.2</v>
      </c>
      <c r="L35" s="35" t="s">
        <v>55</v>
      </c>
    </row>
    <row r="36" spans="1:12" ht="36" hidden="1" customHeight="1" outlineLevel="1" x14ac:dyDescent="0.35">
      <c r="A36" s="8" t="s">
        <v>56</v>
      </c>
      <c r="B36" s="13">
        <f>B101</f>
        <v>0</v>
      </c>
      <c r="C36" s="13">
        <f>C101</f>
        <v>0</v>
      </c>
      <c r="D36" s="13">
        <f>D101</f>
        <v>0</v>
      </c>
      <c r="E36" s="13">
        <f>E101</f>
        <v>0</v>
      </c>
      <c r="F36" s="13">
        <f>F101</f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35" t="s">
        <v>182</v>
      </c>
    </row>
    <row r="37" spans="1:12" ht="36" hidden="1" customHeight="1" outlineLevel="1" x14ac:dyDescent="0.35">
      <c r="A37" s="8" t="s">
        <v>57</v>
      </c>
      <c r="B37" s="9"/>
      <c r="C37" s="9"/>
      <c r="D37" s="9"/>
      <c r="E37" s="9"/>
      <c r="F37" s="9"/>
      <c r="G37" s="10">
        <v>8.5000000000000006E-2</v>
      </c>
      <c r="H37" s="10">
        <v>8.5000000000000006E-2</v>
      </c>
      <c r="I37" s="10">
        <v>8.5000000000000006E-2</v>
      </c>
      <c r="J37" s="10">
        <v>8.5000000000000006E-2</v>
      </c>
      <c r="K37" s="10">
        <v>8.5000000000000006E-2</v>
      </c>
      <c r="L37" s="35" t="s">
        <v>58</v>
      </c>
    </row>
    <row r="38" spans="1:12" ht="36" hidden="1" customHeight="1" outlineLevel="1" x14ac:dyDescent="0.35">
      <c r="A38" s="8" t="s">
        <v>59</v>
      </c>
      <c r="B38" s="9">
        <f>-B97/B55</f>
        <v>0.34897069950687504</v>
      </c>
      <c r="C38" s="9">
        <f>-C97/C55</f>
        <v>0.98251358341044437</v>
      </c>
      <c r="D38" s="9">
        <f>-D97/D55</f>
        <v>0.5493160233510499</v>
      </c>
      <c r="E38" s="9">
        <f>-E97/E55</f>
        <v>0.92603958560748045</v>
      </c>
      <c r="F38" s="9">
        <f>-F97/F55</f>
        <v>0.8041251778093883</v>
      </c>
      <c r="G38" s="10">
        <v>0.85</v>
      </c>
      <c r="H38" s="10">
        <v>0.85</v>
      </c>
      <c r="I38" s="10">
        <v>0.85</v>
      </c>
      <c r="J38" s="10">
        <v>0.85</v>
      </c>
      <c r="K38" s="10">
        <v>0.85</v>
      </c>
      <c r="L38" s="35" t="s">
        <v>60</v>
      </c>
    </row>
    <row r="39" spans="1:12" collapsed="1" x14ac:dyDescent="0.35"/>
    <row r="40" spans="1:12" ht="25.5" customHeight="1" x14ac:dyDescent="0.35">
      <c r="A40" s="6" t="s">
        <v>61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hidden="1" outlineLevel="1" x14ac:dyDescent="0.35">
      <c r="A41" s="8" t="s">
        <v>62</v>
      </c>
      <c r="B41" s="17">
        <v>191754</v>
      </c>
      <c r="C41" s="17">
        <v>225458</v>
      </c>
      <c r="D41" s="17">
        <v>240893</v>
      </c>
      <c r="E41" s="17">
        <v>255324</v>
      </c>
      <c r="F41" s="17">
        <v>267021</v>
      </c>
      <c r="G41" s="18">
        <f>F41*(1+G10)</f>
        <v>280372.05</v>
      </c>
      <c r="H41" s="18">
        <f>G41*(1+H10)</f>
        <v>295792.51274999999</v>
      </c>
      <c r="I41" s="18">
        <f>H41*(1+I10)</f>
        <v>313540.06351499999</v>
      </c>
      <c r="J41" s="18">
        <f>I41*(1+J10)</f>
        <v>332352.46732589998</v>
      </c>
      <c r="K41" s="18">
        <f>J41*(1+K10)</f>
        <v>352293.615365454</v>
      </c>
    </row>
    <row r="42" spans="1:12" hidden="1" outlineLevel="1" x14ac:dyDescent="0.35">
      <c r="A42" s="8" t="s">
        <v>63</v>
      </c>
      <c r="B42" s="17">
        <v>108717</v>
      </c>
      <c r="C42" s="17">
        <v>129403</v>
      </c>
      <c r="D42" s="17">
        <v>143833</v>
      </c>
      <c r="E42" s="17">
        <v>157436</v>
      </c>
      <c r="F42" s="17">
        <v>159393</v>
      </c>
      <c r="G42" s="18">
        <f>G41*G11</f>
        <v>168223.22999999998</v>
      </c>
      <c r="H42" s="18">
        <f>H41*H11</f>
        <v>177475.50764999999</v>
      </c>
      <c r="I42" s="18">
        <f>I41*I11</f>
        <v>188124.03810899999</v>
      </c>
      <c r="J42" s="18">
        <f>J41*J11</f>
        <v>199411.48039553998</v>
      </c>
      <c r="K42" s="18">
        <f>K41*K11</f>
        <v>211376.16921927239</v>
      </c>
    </row>
    <row r="43" spans="1:12" hidden="1" outlineLevel="1" x14ac:dyDescent="0.35">
      <c r="A43" s="19" t="s">
        <v>64</v>
      </c>
      <c r="B43" s="20">
        <f t="shared" ref="B43:K43" si="0">B41-B42</f>
        <v>83037</v>
      </c>
      <c r="C43" s="20">
        <f t="shared" si="0"/>
        <v>96055</v>
      </c>
      <c r="D43" s="20">
        <f t="shared" si="0"/>
        <v>97060</v>
      </c>
      <c r="E43" s="20">
        <f t="shared" si="0"/>
        <v>97888</v>
      </c>
      <c r="F43" s="20">
        <f t="shared" si="0"/>
        <v>107628</v>
      </c>
      <c r="G43" s="20">
        <f t="shared" si="0"/>
        <v>112148.82</v>
      </c>
      <c r="H43" s="20">
        <f t="shared" si="0"/>
        <v>118317.00510000001</v>
      </c>
      <c r="I43" s="20">
        <f t="shared" si="0"/>
        <v>125416.025406</v>
      </c>
      <c r="J43" s="20">
        <f t="shared" si="0"/>
        <v>132940.98693036</v>
      </c>
      <c r="K43" s="20">
        <f t="shared" si="0"/>
        <v>140917.44614618161</v>
      </c>
    </row>
    <row r="44" spans="1:12" hidden="1" outlineLevel="1" x14ac:dyDescent="0.35">
      <c r="A44" s="8" t="s">
        <v>65</v>
      </c>
      <c r="B44" s="17">
        <v>29980</v>
      </c>
      <c r="C44" s="17">
        <v>36796</v>
      </c>
      <c r="D44" s="17">
        <v>33722</v>
      </c>
      <c r="E44" s="17">
        <v>30481</v>
      </c>
      <c r="F44" s="17">
        <v>39756</v>
      </c>
      <c r="G44" s="18">
        <f>G41*G12</f>
        <v>36448.366499999996</v>
      </c>
      <c r="H44" s="18">
        <f>H41*H12</f>
        <v>38453.026657499999</v>
      </c>
      <c r="I44" s="18">
        <f>I41*I12</f>
        <v>40760.208256949998</v>
      </c>
      <c r="J44" s="18">
        <f>J41*J12</f>
        <v>43205.820752366999</v>
      </c>
      <c r="K44" s="18">
        <f>K41*K12</f>
        <v>45798.169997509023</v>
      </c>
    </row>
    <row r="45" spans="1:12" hidden="1" outlineLevel="1" x14ac:dyDescent="0.35">
      <c r="A45" s="19" t="s">
        <v>66</v>
      </c>
      <c r="B45" s="20">
        <f t="shared" ref="B45:K45" si="1">B43-B44</f>
        <v>53057</v>
      </c>
      <c r="C45" s="20">
        <f t="shared" si="1"/>
        <v>59259</v>
      </c>
      <c r="D45" s="20">
        <f t="shared" si="1"/>
        <v>63338</v>
      </c>
      <c r="E45" s="20">
        <f t="shared" si="1"/>
        <v>67407</v>
      </c>
      <c r="F45" s="20">
        <f t="shared" si="1"/>
        <v>67872</v>
      </c>
      <c r="G45" s="20">
        <f t="shared" si="1"/>
        <v>75700.453500000003</v>
      </c>
      <c r="H45" s="20">
        <f t="shared" si="1"/>
        <v>79863.978442500011</v>
      </c>
      <c r="I45" s="20">
        <f t="shared" si="1"/>
        <v>84655.81714905001</v>
      </c>
      <c r="J45" s="20">
        <f t="shared" si="1"/>
        <v>89735.166177993</v>
      </c>
      <c r="K45" s="20">
        <f t="shared" si="1"/>
        <v>95119.276148672594</v>
      </c>
    </row>
    <row r="46" spans="1:12" hidden="1" outlineLevel="1" x14ac:dyDescent="0.35">
      <c r="A46" s="8" t="s">
        <v>67</v>
      </c>
      <c r="B46" s="17">
        <v>4604</v>
      </c>
      <c r="C46" s="17">
        <v>5022</v>
      </c>
      <c r="D46" s="17">
        <v>4985</v>
      </c>
      <c r="E46" s="17">
        <v>5242</v>
      </c>
      <c r="F46" s="17">
        <v>5560</v>
      </c>
      <c r="G46" s="18">
        <f>G126</f>
        <v>5834.3520499999995</v>
      </c>
      <c r="H46" s="18">
        <f>H126</f>
        <v>6279.9465332500004</v>
      </c>
      <c r="I46" s="18">
        <f>I126</f>
        <v>6700.0397714975006</v>
      </c>
      <c r="J46" s="18">
        <f>J126</f>
        <v>7124.5113507267251</v>
      </c>
      <c r="K46" s="18">
        <f>K126</f>
        <v>7564.2008325503211</v>
      </c>
    </row>
    <row r="47" spans="1:12" hidden="1" outlineLevel="1" x14ac:dyDescent="0.35">
      <c r="A47" s="19" t="s">
        <v>68</v>
      </c>
      <c r="B47" s="20">
        <f t="shared" ref="B47:K47" si="2">B45-B46</f>
        <v>48453</v>
      </c>
      <c r="C47" s="20">
        <f t="shared" si="2"/>
        <v>54237</v>
      </c>
      <c r="D47" s="20">
        <f t="shared" si="2"/>
        <v>58353</v>
      </c>
      <c r="E47" s="20">
        <f t="shared" si="2"/>
        <v>62165</v>
      </c>
      <c r="F47" s="20">
        <f t="shared" si="2"/>
        <v>62312</v>
      </c>
      <c r="G47" s="20">
        <f t="shared" si="2"/>
        <v>69866.101450000002</v>
      </c>
      <c r="H47" s="20">
        <f t="shared" si="2"/>
        <v>73584.031909250014</v>
      </c>
      <c r="I47" s="20">
        <f t="shared" si="2"/>
        <v>77955.777377552513</v>
      </c>
      <c r="J47" s="20">
        <f t="shared" si="2"/>
        <v>82610.654827266277</v>
      </c>
      <c r="K47" s="20">
        <f t="shared" si="2"/>
        <v>87555.075316122267</v>
      </c>
    </row>
    <row r="48" spans="1:12" hidden="1" outlineLevel="1" x14ac:dyDescent="0.35">
      <c r="A48" s="8" t="s">
        <v>69</v>
      </c>
      <c r="B48" s="17">
        <v>2663</v>
      </c>
      <c r="C48" s="17">
        <v>3248</v>
      </c>
      <c r="D48" s="17">
        <v>3781</v>
      </c>
      <c r="E48" s="17">
        <v>3296</v>
      </c>
      <c r="F48" s="17">
        <v>3854</v>
      </c>
      <c r="G48" s="18">
        <f>(F67+F65)*G13</f>
        <v>3517.2</v>
      </c>
      <c r="H48" s="18">
        <f>(G67+G65)*H13</f>
        <v>3970.4302981380151</v>
      </c>
      <c r="I48" s="18">
        <f>(H67+H65)*I13</f>
        <v>4478.1665964212971</v>
      </c>
      <c r="J48" s="18">
        <f>(I67+I65)*J13</f>
        <v>5004.822663095345</v>
      </c>
      <c r="K48" s="18">
        <f>(J67+J65)*K13</f>
        <v>5498.2186579189784</v>
      </c>
    </row>
    <row r="49" spans="1:12" hidden="1" outlineLevel="1" x14ac:dyDescent="0.35">
      <c r="A49" s="8" t="s">
        <v>70</v>
      </c>
      <c r="B49" s="17">
        <v>1355</v>
      </c>
      <c r="C49" s="17">
        <v>201</v>
      </c>
      <c r="D49" s="17">
        <v>641</v>
      </c>
      <c r="E49" s="17">
        <v>666</v>
      </c>
      <c r="F49" s="17">
        <v>548</v>
      </c>
      <c r="G49" s="18">
        <f>G41*G14</f>
        <v>560.7441</v>
      </c>
      <c r="H49" s="18">
        <f>H41*H14</f>
        <v>591.58502550000003</v>
      </c>
      <c r="I49" s="18">
        <f>I41*I14</f>
        <v>627.08012702999997</v>
      </c>
      <c r="J49" s="18">
        <f>J41*J14</f>
        <v>664.70493465179993</v>
      </c>
      <c r="K49" s="18">
        <f>K41*K14</f>
        <v>704.587230730908</v>
      </c>
    </row>
    <row r="50" spans="1:12" hidden="1" outlineLevel="1" x14ac:dyDescent="0.35">
      <c r="A50" s="8" t="s">
        <v>177</v>
      </c>
      <c r="B50" s="17">
        <v>784</v>
      </c>
      <c r="C50" s="17">
        <v>779</v>
      </c>
      <c r="D50" s="17">
        <v>778</v>
      </c>
      <c r="E50" s="17">
        <v>796</v>
      </c>
      <c r="F50" s="17">
        <v>1227</v>
      </c>
      <c r="G50" s="18">
        <f>G147</f>
        <v>1242.8778915</v>
      </c>
      <c r="H50" s="18">
        <f>H147</f>
        <v>1357.2859877325</v>
      </c>
      <c r="I50" s="18">
        <f>I147</f>
        <v>1469.7083132329499</v>
      </c>
      <c r="J50" s="18">
        <f>J147</f>
        <v>1582.6789450161268</v>
      </c>
      <c r="K50" s="18">
        <f>K147</f>
        <v>1697.4701881084543</v>
      </c>
    </row>
    <row r="51" spans="1:12" hidden="1" outlineLevel="1" x14ac:dyDescent="0.35">
      <c r="A51" s="19" t="s">
        <v>71</v>
      </c>
      <c r="B51" s="20">
        <f t="shared" ref="B51:K51" si="3">B47+B48+B49-B50</f>
        <v>51687</v>
      </c>
      <c r="C51" s="20">
        <f t="shared" si="3"/>
        <v>56907</v>
      </c>
      <c r="D51" s="20">
        <f t="shared" si="3"/>
        <v>61997</v>
      </c>
      <c r="E51" s="20">
        <f t="shared" si="3"/>
        <v>65331</v>
      </c>
      <c r="F51" s="20">
        <f t="shared" si="3"/>
        <v>65487</v>
      </c>
      <c r="G51" s="20">
        <f t="shared" si="3"/>
        <v>72701.167658499995</v>
      </c>
      <c r="H51" s="20">
        <f t="shared" si="3"/>
        <v>76788.761245155532</v>
      </c>
      <c r="I51" s="20">
        <f t="shared" si="3"/>
        <v>81591.315787770873</v>
      </c>
      <c r="J51" s="20">
        <f t="shared" si="3"/>
        <v>86697.503479997293</v>
      </c>
      <c r="K51" s="20">
        <f t="shared" si="3"/>
        <v>92060.411016663697</v>
      </c>
    </row>
    <row r="52" spans="1:12" hidden="1" outlineLevel="1" x14ac:dyDescent="0.35">
      <c r="A52" s="8" t="s">
        <v>72</v>
      </c>
      <c r="B52" s="17">
        <v>13238</v>
      </c>
      <c r="C52" s="17">
        <v>14604</v>
      </c>
      <c r="D52" s="17">
        <v>15898</v>
      </c>
      <c r="E52" s="17">
        <v>16534</v>
      </c>
      <c r="F52" s="17">
        <v>16033</v>
      </c>
      <c r="G52" s="18">
        <f>G51*G15</f>
        <v>18538.7977529175</v>
      </c>
      <c r="H52" s="18">
        <f>H51*H15</f>
        <v>19581.134117514663</v>
      </c>
      <c r="I52" s="18">
        <f>I51*I15</f>
        <v>20805.785525881573</v>
      </c>
      <c r="J52" s="18">
        <f>J51*J15</f>
        <v>22107.863387399309</v>
      </c>
      <c r="K52" s="18">
        <f>K51*K15</f>
        <v>23475.404809249241</v>
      </c>
    </row>
    <row r="53" spans="1:12" hidden="1" outlineLevel="1" x14ac:dyDescent="0.35">
      <c r="A53" s="19" t="s">
        <v>73</v>
      </c>
      <c r="B53" s="20">
        <f t="shared" ref="B53:K53" si="4">B51-B52</f>
        <v>38449</v>
      </c>
      <c r="C53" s="20">
        <f t="shared" si="4"/>
        <v>42303</v>
      </c>
      <c r="D53" s="20">
        <f t="shared" si="4"/>
        <v>46099</v>
      </c>
      <c r="E53" s="20">
        <f t="shared" si="4"/>
        <v>48797</v>
      </c>
      <c r="F53" s="20">
        <f t="shared" si="4"/>
        <v>49454</v>
      </c>
      <c r="G53" s="20">
        <f t="shared" si="4"/>
        <v>54162.369905582498</v>
      </c>
      <c r="H53" s="20">
        <f t="shared" si="4"/>
        <v>57207.627127640866</v>
      </c>
      <c r="I53" s="20">
        <f t="shared" si="4"/>
        <v>60785.530261889304</v>
      </c>
      <c r="J53" s="20">
        <f t="shared" si="4"/>
        <v>64589.640092597983</v>
      </c>
      <c r="K53" s="20">
        <f t="shared" si="4"/>
        <v>68585.006207414452</v>
      </c>
    </row>
    <row r="54" spans="1:12" hidden="1" outlineLevel="1" x14ac:dyDescent="0.35">
      <c r="A54" s="8" t="s">
        <v>74</v>
      </c>
      <c r="B54" s="17">
        <v>122</v>
      </c>
      <c r="C54" s="17">
        <v>156</v>
      </c>
      <c r="D54" s="17">
        <v>191</v>
      </c>
      <c r="E54" s="17">
        <v>244</v>
      </c>
      <c r="F54" s="17">
        <v>244</v>
      </c>
      <c r="G54" s="18">
        <f>G53*G16</f>
        <v>270.8118495279125</v>
      </c>
      <c r="H54" s="18">
        <f>H53*H16</f>
        <v>286.03813563820432</v>
      </c>
      <c r="I54" s="18">
        <f>I53*I16</f>
        <v>303.9276513094465</v>
      </c>
      <c r="J54" s="18">
        <f>J53*J16</f>
        <v>322.94820046298992</v>
      </c>
      <c r="K54" s="18">
        <f>K53*K16</f>
        <v>342.92503103707224</v>
      </c>
    </row>
    <row r="55" spans="1:12" hidden="1" outlineLevel="1" x14ac:dyDescent="0.35">
      <c r="A55" s="19" t="s">
        <v>75</v>
      </c>
      <c r="B55" s="20">
        <f t="shared" ref="B55:K55" si="5">B53-B54</f>
        <v>38327</v>
      </c>
      <c r="C55" s="20">
        <f t="shared" si="5"/>
        <v>42147</v>
      </c>
      <c r="D55" s="20">
        <f t="shared" si="5"/>
        <v>45908</v>
      </c>
      <c r="E55" s="20">
        <f t="shared" si="5"/>
        <v>48553</v>
      </c>
      <c r="F55" s="20">
        <f t="shared" si="5"/>
        <v>49210</v>
      </c>
      <c r="G55" s="20">
        <f t="shared" si="5"/>
        <v>53891.558056054586</v>
      </c>
      <c r="H55" s="20">
        <f t="shared" si="5"/>
        <v>56921.58899200266</v>
      </c>
      <c r="I55" s="20">
        <f t="shared" si="5"/>
        <v>60481.602610579859</v>
      </c>
      <c r="J55" s="20">
        <f t="shared" si="5"/>
        <v>64266.691892134993</v>
      </c>
      <c r="K55" s="20">
        <f t="shared" si="5"/>
        <v>68242.081176377382</v>
      </c>
    </row>
    <row r="56" spans="1:12" hidden="1" outlineLevel="1" x14ac:dyDescent="0.35">
      <c r="A56" s="8" t="s">
        <v>27</v>
      </c>
      <c r="B56" s="21">
        <v>369.8832195</v>
      </c>
      <c r="C56" s="21">
        <v>365.90513729999998</v>
      </c>
      <c r="D56" s="21">
        <v>364.68517550000001</v>
      </c>
      <c r="E56" s="21">
        <v>361.80875179999998</v>
      </c>
      <c r="F56" s="21">
        <v>361.80875179999998</v>
      </c>
      <c r="G56" s="22">
        <f>G17</f>
        <v>361.80875179999998</v>
      </c>
      <c r="H56" s="22">
        <f>H17</f>
        <v>361.80875179999998</v>
      </c>
      <c r="I56" s="22">
        <f>I17</f>
        <v>361.80875179999998</v>
      </c>
      <c r="J56" s="22">
        <f>J17</f>
        <v>361.80875179999998</v>
      </c>
      <c r="K56" s="22">
        <f>K17</f>
        <v>361.80875179999998</v>
      </c>
    </row>
    <row r="57" spans="1:12" hidden="1" outlineLevel="1" x14ac:dyDescent="0.35">
      <c r="A57" s="8" t="s">
        <v>76</v>
      </c>
      <c r="B57" s="23">
        <f t="shared" ref="B57:K57" si="6">B55/B56</f>
        <v>103.61919108363335</v>
      </c>
      <c r="C57" s="23">
        <f t="shared" si="6"/>
        <v>115.18559239425034</v>
      </c>
      <c r="D57" s="23">
        <f t="shared" si="6"/>
        <v>125.88392148668515</v>
      </c>
      <c r="E57" s="23">
        <f t="shared" si="6"/>
        <v>134.19520605416159</v>
      </c>
      <c r="F57" s="23">
        <f t="shared" si="6"/>
        <v>136.01108252683235</v>
      </c>
      <c r="G57" s="23">
        <f t="shared" si="6"/>
        <v>148.95039931439985</v>
      </c>
      <c r="H57" s="23">
        <f t="shared" si="6"/>
        <v>157.32507494309502</v>
      </c>
      <c r="I57" s="23">
        <f t="shared" si="6"/>
        <v>167.16456500757278</v>
      </c>
      <c r="J57" s="23">
        <f t="shared" si="6"/>
        <v>177.62613970062344</v>
      </c>
      <c r="K57" s="23">
        <f t="shared" si="6"/>
        <v>188.61368288321594</v>
      </c>
    </row>
    <row r="58" spans="1:12" collapsed="1" x14ac:dyDescent="0.35"/>
    <row r="59" spans="1:12" ht="27.5" customHeight="1" x14ac:dyDescent="0.35">
      <c r="A59" s="6" t="s">
        <v>77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hidden="1" outlineLevel="1" x14ac:dyDescent="0.35">
      <c r="A60" s="7" t="s">
        <v>78</v>
      </c>
    </row>
    <row r="61" spans="1:12" hidden="1" outlineLevel="1" x14ac:dyDescent="0.35">
      <c r="A61" s="8" t="s">
        <v>169</v>
      </c>
      <c r="B61" s="17">
        <v>11979</v>
      </c>
      <c r="C61" s="17">
        <v>11464</v>
      </c>
      <c r="D61" s="17">
        <v>10940</v>
      </c>
      <c r="E61" s="17">
        <v>12524</v>
      </c>
      <c r="F61" s="17">
        <v>13697</v>
      </c>
      <c r="G61" s="18">
        <f>G115</f>
        <v>14191.526650000002</v>
      </c>
      <c r="H61" s="18">
        <f>H115</f>
        <v>14772.778186250001</v>
      </c>
      <c r="I61" s="18">
        <f>I115</f>
        <v>15451.060029107501</v>
      </c>
      <c r="J61" s="18">
        <f>J115</f>
        <v>16217.898297649477</v>
      </c>
      <c r="K61" s="18">
        <f>K115</f>
        <v>17067.598688941001</v>
      </c>
    </row>
    <row r="62" spans="1:12" hidden="1" outlineLevel="1" x14ac:dyDescent="0.35">
      <c r="A62" s="8" t="s">
        <v>79</v>
      </c>
      <c r="B62" s="17">
        <v>7636</v>
      </c>
      <c r="C62" s="17">
        <v>7560</v>
      </c>
      <c r="D62" s="17">
        <v>7886</v>
      </c>
      <c r="E62" s="17">
        <v>9275</v>
      </c>
      <c r="F62" s="17">
        <v>11027</v>
      </c>
      <c r="G62" s="18">
        <f>G120</f>
        <v>12075.794599999999</v>
      </c>
      <c r="H62" s="18">
        <f>H120</f>
        <v>13089.387887000001</v>
      </c>
      <c r="I62" s="18">
        <f>I120</f>
        <v>14103.09719291</v>
      </c>
      <c r="J62" s="18">
        <f>J120</f>
        <v>15129.6763903097</v>
      </c>
      <c r="K62" s="18">
        <f>K120</f>
        <v>16179.967732730112</v>
      </c>
    </row>
    <row r="63" spans="1:12" hidden="1" outlineLevel="1" x14ac:dyDescent="0.35">
      <c r="A63" s="8" t="s">
        <v>80</v>
      </c>
      <c r="B63" s="17">
        <v>1787</v>
      </c>
      <c r="C63" s="17">
        <v>1858</v>
      </c>
      <c r="D63" s="17">
        <v>1832</v>
      </c>
      <c r="E63" s="17">
        <v>1860</v>
      </c>
      <c r="F63" s="17">
        <v>9108</v>
      </c>
      <c r="G63" s="18">
        <f>F63+G25</f>
        <v>9108</v>
      </c>
      <c r="H63" s="18">
        <f>G63+H25</f>
        <v>9108</v>
      </c>
      <c r="I63" s="18">
        <f>H63+I25</f>
        <v>9108</v>
      </c>
      <c r="J63" s="18">
        <f>I63+J25</f>
        <v>9108</v>
      </c>
      <c r="K63" s="18">
        <f>J63+K25</f>
        <v>9108</v>
      </c>
    </row>
    <row r="64" spans="1:12" hidden="1" outlineLevel="1" x14ac:dyDescent="0.35">
      <c r="A64" s="8" t="s">
        <v>81</v>
      </c>
      <c r="B64" s="17">
        <v>1101</v>
      </c>
      <c r="C64" s="17">
        <v>867</v>
      </c>
      <c r="D64" s="17">
        <v>510</v>
      </c>
      <c r="E64" s="17">
        <v>940</v>
      </c>
      <c r="F64" s="17">
        <v>176</v>
      </c>
      <c r="G64" s="18">
        <f>G125</f>
        <v>368.37205</v>
      </c>
      <c r="H64" s="18">
        <f>H125</f>
        <v>479.97853774999999</v>
      </c>
      <c r="I64" s="18">
        <f>I125</f>
        <v>553.52933239000004</v>
      </c>
      <c r="J64" s="18">
        <f>J125</f>
        <v>609.11713352089998</v>
      </c>
      <c r="K64" s="18">
        <f>K125</f>
        <v>656.85218212590394</v>
      </c>
    </row>
    <row r="65" spans="1:11" hidden="1" outlineLevel="1" x14ac:dyDescent="0.35">
      <c r="A65" s="8" t="s">
        <v>82</v>
      </c>
      <c r="B65" s="17">
        <v>36218</v>
      </c>
      <c r="C65" s="17">
        <v>41072</v>
      </c>
      <c r="D65" s="17">
        <v>36032</v>
      </c>
      <c r="E65" s="17">
        <v>38085</v>
      </c>
      <c r="F65" s="17">
        <v>40479</v>
      </c>
      <c r="G65" s="18">
        <f>G41*G32</f>
        <v>42055.807499999995</v>
      </c>
      <c r="H65" s="18">
        <f>H41*H32</f>
        <v>44368.876912499996</v>
      </c>
      <c r="I65" s="18">
        <f>I41*I32</f>
        <v>47031.009527249997</v>
      </c>
      <c r="J65" s="18">
        <f>J41*J32</f>
        <v>49852.870098884996</v>
      </c>
      <c r="K65" s="18">
        <f>K41*K32</f>
        <v>52844.042304818096</v>
      </c>
    </row>
    <row r="66" spans="1:11" hidden="1" outlineLevel="1" x14ac:dyDescent="0.35">
      <c r="A66" s="8" t="s">
        <v>83</v>
      </c>
      <c r="B66" s="17">
        <v>41810</v>
      </c>
      <c r="C66" s="17">
        <v>49954</v>
      </c>
      <c r="D66" s="17">
        <v>53577</v>
      </c>
      <c r="E66" s="17">
        <v>59046</v>
      </c>
      <c r="F66" s="17">
        <v>67714</v>
      </c>
      <c r="G66" s="18">
        <f>G129</f>
        <v>67596.549041095888</v>
      </c>
      <c r="H66" s="18">
        <f>H129</f>
        <v>70503.968792465748</v>
      </c>
      <c r="I66" s="18">
        <f>I129</f>
        <v>73875.193047369859</v>
      </c>
      <c r="J66" s="18">
        <f>J129</f>
        <v>78307.704630212043</v>
      </c>
      <c r="K66" s="18">
        <f>K129</f>
        <v>83006.166908024781</v>
      </c>
    </row>
    <row r="67" spans="1:11" hidden="1" outlineLevel="1" x14ac:dyDescent="0.35">
      <c r="A67" s="8" t="s">
        <v>84</v>
      </c>
      <c r="B67" s="17">
        <v>12488</v>
      </c>
      <c r="C67" s="17">
        <v>7123</v>
      </c>
      <c r="D67" s="17">
        <v>9016</v>
      </c>
      <c r="E67" s="17">
        <v>8342</v>
      </c>
      <c r="F67" s="17">
        <v>6417</v>
      </c>
      <c r="G67" s="18">
        <f>G107</f>
        <v>10883.263141840209</v>
      </c>
      <c r="H67" s="18">
        <f>H107</f>
        <v>15340.011039783967</v>
      </c>
      <c r="I67" s="18">
        <f>I107</f>
        <v>19699.959314021267</v>
      </c>
      <c r="J67" s="18">
        <f>J107</f>
        <v>23456.712006701382</v>
      </c>
      <c r="K67" s="18">
        <f>K107</f>
        <v>27427.627440179727</v>
      </c>
    </row>
    <row r="68" spans="1:11" hidden="1" outlineLevel="1" x14ac:dyDescent="0.35">
      <c r="A68" s="8" t="s">
        <v>85</v>
      </c>
      <c r="B68" s="17">
        <v>28495</v>
      </c>
      <c r="C68" s="17">
        <v>23753</v>
      </c>
      <c r="D68" s="17">
        <v>26656</v>
      </c>
      <c r="E68" s="17">
        <v>29557</v>
      </c>
      <c r="F68" s="17">
        <v>33754</v>
      </c>
      <c r="G68" s="18">
        <f>G130</f>
        <v>33644.646000000001</v>
      </c>
      <c r="H68" s="18">
        <f>H130</f>
        <v>35495.10153</v>
      </c>
      <c r="I68" s="18">
        <f>I130</f>
        <v>37624.807621799999</v>
      </c>
      <c r="J68" s="18">
        <f>J130</f>
        <v>39882.296079107997</v>
      </c>
      <c r="K68" s="18">
        <f>K130</f>
        <v>42275.233843854476</v>
      </c>
    </row>
    <row r="69" spans="1:11" hidden="1" outlineLevel="1" x14ac:dyDescent="0.35">
      <c r="A69" s="19" t="s">
        <v>86</v>
      </c>
      <c r="B69" s="20">
        <f t="shared" ref="B69:K69" si="7">SUM(B61:B68)</f>
        <v>141514</v>
      </c>
      <c r="C69" s="20">
        <f t="shared" si="7"/>
        <v>143651</v>
      </c>
      <c r="D69" s="20">
        <f t="shared" si="7"/>
        <v>146449</v>
      </c>
      <c r="E69" s="20">
        <f t="shared" si="7"/>
        <v>159629</v>
      </c>
      <c r="F69" s="20">
        <f t="shared" si="7"/>
        <v>182372</v>
      </c>
      <c r="G69" s="20">
        <f t="shared" si="7"/>
        <v>189923.95898293608</v>
      </c>
      <c r="H69" s="20">
        <f t="shared" si="7"/>
        <v>203158.10288574971</v>
      </c>
      <c r="I69" s="20">
        <f t="shared" si="7"/>
        <v>217446.65606484859</v>
      </c>
      <c r="J69" s="20">
        <f t="shared" si="7"/>
        <v>232564.27463638652</v>
      </c>
      <c r="K69" s="20">
        <f t="shared" si="7"/>
        <v>248565.48910067411</v>
      </c>
    </row>
    <row r="70" spans="1:11" hidden="1" outlineLevel="1" x14ac:dyDescent="0.35">
      <c r="A70" s="7" t="s">
        <v>87</v>
      </c>
    </row>
    <row r="71" spans="1:11" hidden="1" outlineLevel="1" x14ac:dyDescent="0.35">
      <c r="A71" s="8" t="s">
        <v>88</v>
      </c>
      <c r="B71" s="17">
        <v>7818</v>
      </c>
      <c r="C71" s="17">
        <v>7688</v>
      </c>
      <c r="D71" s="17">
        <v>8021</v>
      </c>
      <c r="E71" s="17">
        <v>9392</v>
      </c>
      <c r="F71" s="17">
        <v>11283</v>
      </c>
      <c r="G71" s="18">
        <f>G141</f>
        <v>12390.864599999999</v>
      </c>
      <c r="H71" s="18">
        <f>H141</f>
        <v>13462.201832999999</v>
      </c>
      <c r="I71" s="18">
        <f>I141</f>
        <v>14532.242228579998</v>
      </c>
      <c r="J71" s="18">
        <f>J141</f>
        <v>15614.023390774797</v>
      </c>
      <c r="K71" s="18">
        <f>K141</f>
        <v>16718.742097005284</v>
      </c>
    </row>
    <row r="72" spans="1:11" hidden="1" outlineLevel="1" x14ac:dyDescent="0.35">
      <c r="A72" s="8" t="s">
        <v>89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8">
        <f>G144</f>
        <v>0</v>
      </c>
      <c r="H72" s="18">
        <f>H144</f>
        <v>0</v>
      </c>
      <c r="I72" s="18">
        <f>I144</f>
        <v>0</v>
      </c>
      <c r="J72" s="18">
        <f>J144</f>
        <v>0</v>
      </c>
      <c r="K72" s="18">
        <f>K144</f>
        <v>0</v>
      </c>
    </row>
    <row r="73" spans="1:11" hidden="1" outlineLevel="1" x14ac:dyDescent="0.35">
      <c r="A73" s="8" t="s">
        <v>90</v>
      </c>
      <c r="B73" s="17">
        <v>8045</v>
      </c>
      <c r="C73" s="17">
        <v>10515</v>
      </c>
      <c r="D73" s="17">
        <v>9981</v>
      </c>
      <c r="E73" s="17">
        <v>13909</v>
      </c>
      <c r="F73" s="17">
        <v>14808</v>
      </c>
      <c r="G73" s="18">
        <f t="shared" ref="G73:K75" si="8">G131</f>
        <v>14018.602499999999</v>
      </c>
      <c r="H73" s="18">
        <f t="shared" si="8"/>
        <v>14789.625637500001</v>
      </c>
      <c r="I73" s="18">
        <f t="shared" si="8"/>
        <v>15677.003175749996</v>
      </c>
      <c r="J73" s="18">
        <f t="shared" si="8"/>
        <v>16617.623366294996</v>
      </c>
      <c r="K73" s="18">
        <f t="shared" si="8"/>
        <v>17614.680768272698</v>
      </c>
    </row>
    <row r="74" spans="1:11" hidden="1" outlineLevel="1" x14ac:dyDescent="0.35">
      <c r="A74" s="8" t="s">
        <v>91</v>
      </c>
      <c r="B74" s="17">
        <v>3635</v>
      </c>
      <c r="C74" s="17">
        <v>3843</v>
      </c>
      <c r="D74" s="17">
        <v>3640</v>
      </c>
      <c r="E74" s="17">
        <v>4028</v>
      </c>
      <c r="F74" s="17">
        <v>4487</v>
      </c>
      <c r="G74" s="18">
        <f t="shared" si="8"/>
        <v>4626.138825</v>
      </c>
      <c r="H74" s="18">
        <f t="shared" si="8"/>
        <v>4880.5764603750004</v>
      </c>
      <c r="I74" s="18">
        <f t="shared" si="8"/>
        <v>5173.4110479974997</v>
      </c>
      <c r="J74" s="18">
        <f t="shared" si="8"/>
        <v>5483.8157108773503</v>
      </c>
      <c r="K74" s="18">
        <f t="shared" si="8"/>
        <v>5812.8446535299909</v>
      </c>
    </row>
    <row r="75" spans="1:11" hidden="1" outlineLevel="1" x14ac:dyDescent="0.35">
      <c r="A75" s="8" t="s">
        <v>92</v>
      </c>
      <c r="B75" s="17">
        <v>32170</v>
      </c>
      <c r="C75" s="17">
        <v>30399</v>
      </c>
      <c r="D75" s="17">
        <v>33488</v>
      </c>
      <c r="E75" s="17">
        <v>36529</v>
      </c>
      <c r="F75" s="17">
        <v>43316</v>
      </c>
      <c r="G75" s="18">
        <f t="shared" si="8"/>
        <v>42055.807499999995</v>
      </c>
      <c r="H75" s="18">
        <f t="shared" si="8"/>
        <v>44368.876912499996</v>
      </c>
      <c r="I75" s="18">
        <f t="shared" si="8"/>
        <v>47031.009527249997</v>
      </c>
      <c r="J75" s="18">
        <f t="shared" si="8"/>
        <v>49852.870098884996</v>
      </c>
      <c r="K75" s="18">
        <f t="shared" si="8"/>
        <v>52844.042304818096</v>
      </c>
    </row>
    <row r="76" spans="1:11" hidden="1" outlineLevel="1" x14ac:dyDescent="0.35">
      <c r="A76" s="19" t="s">
        <v>93</v>
      </c>
      <c r="B76" s="20">
        <f t="shared" ref="B76:K76" si="9">SUM(B71:B75)</f>
        <v>51668</v>
      </c>
      <c r="C76" s="20">
        <f t="shared" si="9"/>
        <v>52445</v>
      </c>
      <c r="D76" s="20">
        <f t="shared" si="9"/>
        <v>55130</v>
      </c>
      <c r="E76" s="20">
        <f t="shared" si="9"/>
        <v>63858</v>
      </c>
      <c r="F76" s="20">
        <f t="shared" si="9"/>
        <v>73894</v>
      </c>
      <c r="G76" s="20">
        <f t="shared" si="9"/>
        <v>73091.413424999992</v>
      </c>
      <c r="H76" s="20">
        <f t="shared" si="9"/>
        <v>77501.280843374989</v>
      </c>
      <c r="I76" s="20">
        <f t="shared" si="9"/>
        <v>82413.66597957749</v>
      </c>
      <c r="J76" s="20">
        <f t="shared" si="9"/>
        <v>87568.332566832134</v>
      </c>
      <c r="K76" s="20">
        <f t="shared" si="9"/>
        <v>92990.30982362607</v>
      </c>
    </row>
    <row r="77" spans="1:11" hidden="1" outlineLevel="1" x14ac:dyDescent="0.35">
      <c r="A77" s="8" t="s">
        <v>94</v>
      </c>
      <c r="B77" s="17">
        <v>89139</v>
      </c>
      <c r="C77" s="17">
        <v>90424</v>
      </c>
      <c r="D77" s="17">
        <v>90489</v>
      </c>
      <c r="E77" s="17">
        <v>94756</v>
      </c>
      <c r="F77" s="17">
        <v>107240</v>
      </c>
      <c r="G77" s="18">
        <f>F77+G55+G97+G98</f>
        <v>115323.73370840818</v>
      </c>
      <c r="H77" s="18">
        <f>G77+H55+H97+H98</f>
        <v>123861.97205720859</v>
      </c>
      <c r="I77" s="18">
        <f>H77+I55+I97+I98</f>
        <v>132934.21244879559</v>
      </c>
      <c r="J77" s="18">
        <f>I77+J55+J97+J98</f>
        <v>142574.21623261581</v>
      </c>
      <c r="K77" s="18">
        <f>J77+K55+K97+K98</f>
        <v>152810.5284090724</v>
      </c>
    </row>
    <row r="78" spans="1:11" hidden="1" outlineLevel="1" x14ac:dyDescent="0.35">
      <c r="A78" s="8" t="s">
        <v>95</v>
      </c>
      <c r="B78" s="17">
        <v>707</v>
      </c>
      <c r="C78" s="17">
        <v>782</v>
      </c>
      <c r="D78" s="17">
        <v>830</v>
      </c>
      <c r="E78" s="17">
        <v>1015</v>
      </c>
      <c r="F78" s="17">
        <v>1238</v>
      </c>
      <c r="G78" s="18">
        <f>F78+G54</f>
        <v>1508.8118495279125</v>
      </c>
      <c r="H78" s="18">
        <f>G78+H54</f>
        <v>1794.8499851661168</v>
      </c>
      <c r="I78" s="18">
        <f>H78+I54</f>
        <v>2098.7776364755632</v>
      </c>
      <c r="J78" s="18">
        <f>I78+J54</f>
        <v>2421.7258369385531</v>
      </c>
      <c r="K78" s="18">
        <f>J78+K54</f>
        <v>2764.6508679756253</v>
      </c>
    </row>
    <row r="79" spans="1:11" hidden="1" outlineLevel="1" x14ac:dyDescent="0.35">
      <c r="A79" s="19" t="s">
        <v>96</v>
      </c>
      <c r="B79" s="20">
        <f t="shared" ref="B79:K79" si="10">B77+B78</f>
        <v>89846</v>
      </c>
      <c r="C79" s="20">
        <f t="shared" si="10"/>
        <v>91206</v>
      </c>
      <c r="D79" s="20">
        <f t="shared" si="10"/>
        <v>91319</v>
      </c>
      <c r="E79" s="20">
        <f t="shared" si="10"/>
        <v>95771</v>
      </c>
      <c r="F79" s="20">
        <f t="shared" si="10"/>
        <v>108478</v>
      </c>
      <c r="G79" s="20">
        <f t="shared" si="10"/>
        <v>116832.5455579361</v>
      </c>
      <c r="H79" s="20">
        <f t="shared" si="10"/>
        <v>125656.82204237471</v>
      </c>
      <c r="I79" s="20">
        <f t="shared" si="10"/>
        <v>135032.99008527116</v>
      </c>
      <c r="J79" s="20">
        <f t="shared" si="10"/>
        <v>144995.94206955438</v>
      </c>
      <c r="K79" s="20">
        <f t="shared" si="10"/>
        <v>155575.17927704804</v>
      </c>
    </row>
    <row r="80" spans="1:11" hidden="1" outlineLevel="1" x14ac:dyDescent="0.35">
      <c r="A80" s="19" t="s">
        <v>97</v>
      </c>
      <c r="B80" s="20">
        <f t="shared" ref="B80:K80" si="11">B76+B79</f>
        <v>141514</v>
      </c>
      <c r="C80" s="20">
        <f t="shared" si="11"/>
        <v>143651</v>
      </c>
      <c r="D80" s="20">
        <f t="shared" si="11"/>
        <v>146449</v>
      </c>
      <c r="E80" s="20">
        <f t="shared" si="11"/>
        <v>159629</v>
      </c>
      <c r="F80" s="20">
        <f t="shared" si="11"/>
        <v>182372</v>
      </c>
      <c r="G80" s="20">
        <f t="shared" si="11"/>
        <v>189923.95898293611</v>
      </c>
      <c r="H80" s="20">
        <f t="shared" si="11"/>
        <v>203158.10288574971</v>
      </c>
      <c r="I80" s="20">
        <f t="shared" si="11"/>
        <v>217446.65606484865</v>
      </c>
      <c r="J80" s="20">
        <f t="shared" si="11"/>
        <v>232564.27463638652</v>
      </c>
      <c r="K80" s="20">
        <f t="shared" si="11"/>
        <v>248565.48910067411</v>
      </c>
    </row>
    <row r="81" spans="1:12" hidden="1" outlineLevel="1" x14ac:dyDescent="0.35">
      <c r="A81" s="24" t="s">
        <v>98</v>
      </c>
      <c r="B81" s="25">
        <f t="shared" ref="B81:K81" si="12">ROUND(B69-B80,3)</f>
        <v>0</v>
      </c>
      <c r="C81" s="25">
        <f t="shared" si="12"/>
        <v>0</v>
      </c>
      <c r="D81" s="25">
        <f t="shared" si="12"/>
        <v>0</v>
      </c>
      <c r="E81" s="25">
        <f t="shared" si="12"/>
        <v>0</v>
      </c>
      <c r="F81" s="25">
        <f t="shared" si="12"/>
        <v>0</v>
      </c>
      <c r="G81" s="25">
        <f t="shared" si="12"/>
        <v>0</v>
      </c>
      <c r="H81" s="25">
        <f t="shared" si="12"/>
        <v>0</v>
      </c>
      <c r="I81" s="25">
        <f t="shared" si="12"/>
        <v>0</v>
      </c>
      <c r="J81" s="25">
        <f t="shared" si="12"/>
        <v>0</v>
      </c>
      <c r="K81" s="25">
        <f t="shared" si="12"/>
        <v>0</v>
      </c>
    </row>
    <row r="82" spans="1:12" collapsed="1" x14ac:dyDescent="0.35"/>
    <row r="83" spans="1:12" ht="24" customHeight="1" x14ac:dyDescent="0.35">
      <c r="A83" s="6" t="s">
        <v>99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hidden="1" outlineLevel="1" x14ac:dyDescent="0.35">
      <c r="A84" s="8" t="s">
        <v>73</v>
      </c>
      <c r="B84" s="18">
        <f t="shared" ref="B84:K84" si="13">B53</f>
        <v>38449</v>
      </c>
      <c r="C84" s="18">
        <f t="shared" si="13"/>
        <v>42303</v>
      </c>
      <c r="D84" s="18">
        <f t="shared" si="13"/>
        <v>46099</v>
      </c>
      <c r="E84" s="18">
        <f t="shared" si="13"/>
        <v>48797</v>
      </c>
      <c r="F84" s="18">
        <f t="shared" si="13"/>
        <v>49454</v>
      </c>
      <c r="G84" s="18">
        <f t="shared" si="13"/>
        <v>54162.369905582498</v>
      </c>
      <c r="H84" s="18">
        <f t="shared" si="13"/>
        <v>57207.627127640866</v>
      </c>
      <c r="I84" s="18">
        <f t="shared" si="13"/>
        <v>60785.530261889304</v>
      </c>
      <c r="J84" s="18">
        <f t="shared" si="13"/>
        <v>64589.640092597983</v>
      </c>
      <c r="K84" s="18">
        <f t="shared" si="13"/>
        <v>68585.006207414452</v>
      </c>
    </row>
    <row r="85" spans="1:12" hidden="1" outlineLevel="1" x14ac:dyDescent="0.35">
      <c r="A85" s="8" t="s">
        <v>100</v>
      </c>
      <c r="B85" s="18">
        <f t="shared" ref="B85:K85" si="14">B46</f>
        <v>4604</v>
      </c>
      <c r="C85" s="18">
        <f t="shared" si="14"/>
        <v>5022</v>
      </c>
      <c r="D85" s="18">
        <f t="shared" si="14"/>
        <v>4985</v>
      </c>
      <c r="E85" s="18">
        <f t="shared" si="14"/>
        <v>5242</v>
      </c>
      <c r="F85" s="18">
        <f t="shared" si="14"/>
        <v>5560</v>
      </c>
      <c r="G85" s="18">
        <f t="shared" si="14"/>
        <v>5834.3520499999995</v>
      </c>
      <c r="H85" s="18">
        <f t="shared" si="14"/>
        <v>6279.9465332500004</v>
      </c>
      <c r="I85" s="18">
        <f t="shared" si="14"/>
        <v>6700.0397714975006</v>
      </c>
      <c r="J85" s="18">
        <f t="shared" si="14"/>
        <v>7124.5113507267251</v>
      </c>
      <c r="K85" s="18">
        <f t="shared" si="14"/>
        <v>7564.2008325503211</v>
      </c>
    </row>
    <row r="86" spans="1:12" hidden="1" outlineLevel="1" x14ac:dyDescent="0.35">
      <c r="A86" s="8" t="s">
        <v>178</v>
      </c>
      <c r="B86" s="18">
        <f t="shared" ref="B86:K86" si="15">B50</f>
        <v>784</v>
      </c>
      <c r="C86" s="18">
        <f t="shared" si="15"/>
        <v>779</v>
      </c>
      <c r="D86" s="18">
        <f t="shared" si="15"/>
        <v>778</v>
      </c>
      <c r="E86" s="18">
        <f t="shared" si="15"/>
        <v>796</v>
      </c>
      <c r="F86" s="18">
        <f t="shared" si="15"/>
        <v>1227</v>
      </c>
      <c r="G86" s="18">
        <f t="shared" si="15"/>
        <v>1242.8778915</v>
      </c>
      <c r="H86" s="18">
        <f t="shared" si="15"/>
        <v>1357.2859877325</v>
      </c>
      <c r="I86" s="18">
        <f t="shared" si="15"/>
        <v>1469.7083132329499</v>
      </c>
      <c r="J86" s="18">
        <f t="shared" si="15"/>
        <v>1582.6789450161268</v>
      </c>
      <c r="K86" s="18">
        <f t="shared" si="15"/>
        <v>1697.4701881084543</v>
      </c>
    </row>
    <row r="87" spans="1:12" hidden="1" outlineLevel="1" x14ac:dyDescent="0.35">
      <c r="A87" s="8" t="s">
        <v>101</v>
      </c>
      <c r="B87" s="17">
        <v>-2769</v>
      </c>
      <c r="C87" s="17">
        <v>-4217</v>
      </c>
      <c r="D87" s="17">
        <v>-6882</v>
      </c>
      <c r="E87" s="17">
        <v>-3359</v>
      </c>
      <c r="F87" s="17">
        <v>-2210</v>
      </c>
      <c r="G87" s="18">
        <f>-G135</f>
        <v>-1683.6462160959054</v>
      </c>
      <c r="H87" s="18">
        <f>-H135</f>
        <v>-1419.3450959948386</v>
      </c>
      <c r="I87" s="18">
        <f>-I135</f>
        <v>-1658.5856060816077</v>
      </c>
      <c r="J87" s="18">
        <f>-J135</f>
        <v>-2617.1146150903514</v>
      </c>
      <c r="K87" s="18">
        <f>-K135</f>
        <v>-2774.1414919957824</v>
      </c>
    </row>
    <row r="88" spans="1:12" hidden="1" outlineLevel="1" x14ac:dyDescent="0.35">
      <c r="A88" s="8" t="s">
        <v>102</v>
      </c>
      <c r="B88" s="17">
        <v>-2663</v>
      </c>
      <c r="C88" s="17">
        <v>-3248</v>
      </c>
      <c r="D88" s="17">
        <v>-3781</v>
      </c>
      <c r="E88" s="17">
        <v>-3296</v>
      </c>
      <c r="F88" s="17">
        <v>-3854</v>
      </c>
      <c r="G88" s="18">
        <f>-G48</f>
        <v>-3517.2</v>
      </c>
      <c r="H88" s="18">
        <f>-H48</f>
        <v>-3970.4302981380151</v>
      </c>
      <c r="I88" s="18">
        <f>-I48</f>
        <v>-4478.1665964212971</v>
      </c>
      <c r="J88" s="18">
        <f>-J48</f>
        <v>-5004.822663095345</v>
      </c>
      <c r="K88" s="18">
        <f>-K48</f>
        <v>-5498.2186579189784</v>
      </c>
    </row>
    <row r="89" spans="1:12" hidden="1" outlineLevel="1" x14ac:dyDescent="0.35">
      <c r="A89" s="8" t="s">
        <v>103</v>
      </c>
      <c r="B89" s="17">
        <v>1544</v>
      </c>
      <c r="C89" s="17">
        <v>1326</v>
      </c>
      <c r="D89" s="17">
        <v>3139</v>
      </c>
      <c r="E89" s="17">
        <v>728</v>
      </c>
      <c r="F89" s="17">
        <v>1917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</row>
    <row r="90" spans="1:12" hidden="1" outlineLevel="1" x14ac:dyDescent="0.35">
      <c r="A90" s="19" t="s">
        <v>104</v>
      </c>
      <c r="B90" s="20">
        <f t="shared" ref="B90:K90" si="16">SUM(B84:B89)</f>
        <v>39949</v>
      </c>
      <c r="C90" s="20">
        <f t="shared" si="16"/>
        <v>41965</v>
      </c>
      <c r="D90" s="20">
        <f t="shared" si="16"/>
        <v>44338</v>
      </c>
      <c r="E90" s="20">
        <f t="shared" si="16"/>
        <v>48908</v>
      </c>
      <c r="F90" s="20">
        <f t="shared" si="16"/>
        <v>52094</v>
      </c>
      <c r="G90" s="20">
        <f t="shared" si="16"/>
        <v>56038.753630986597</v>
      </c>
      <c r="H90" s="20">
        <f t="shared" si="16"/>
        <v>59455.08425449051</v>
      </c>
      <c r="I90" s="20">
        <f t="shared" si="16"/>
        <v>62818.526144116833</v>
      </c>
      <c r="J90" s="20">
        <f t="shared" si="16"/>
        <v>65674.893110155142</v>
      </c>
      <c r="K90" s="20">
        <f t="shared" si="16"/>
        <v>69574.317078158463</v>
      </c>
    </row>
    <row r="91" spans="1:12" hidden="1" outlineLevel="1" x14ac:dyDescent="0.35">
      <c r="A91" s="8" t="s">
        <v>105</v>
      </c>
      <c r="B91" s="17">
        <v>-2498</v>
      </c>
      <c r="C91" s="17">
        <v>-2745</v>
      </c>
      <c r="D91" s="17">
        <v>-2232</v>
      </c>
      <c r="E91" s="17">
        <v>-2993</v>
      </c>
      <c r="F91" s="17">
        <v>-3779</v>
      </c>
      <c r="G91" s="18">
        <f>-G113</f>
        <v>-3644.8366499999997</v>
      </c>
      <c r="H91" s="18">
        <f>-H113</f>
        <v>-3845.30266575</v>
      </c>
      <c r="I91" s="18">
        <f>-I113</f>
        <v>-4076.0208256949995</v>
      </c>
      <c r="J91" s="18">
        <f>-J113</f>
        <v>-4320.5820752366999</v>
      </c>
      <c r="K91" s="18">
        <f>-K113</f>
        <v>-4579.8169997509021</v>
      </c>
    </row>
    <row r="92" spans="1:12" hidden="1" outlineLevel="1" x14ac:dyDescent="0.35">
      <c r="A92" s="8" t="s">
        <v>106</v>
      </c>
      <c r="B92" s="17">
        <v>-497</v>
      </c>
      <c r="C92" s="17">
        <v>-355</v>
      </c>
      <c r="D92" s="17">
        <v>-442</v>
      </c>
      <c r="E92" s="17">
        <v>-944</v>
      </c>
      <c r="F92" s="17">
        <v>-367</v>
      </c>
      <c r="G92" s="18">
        <f>-G123</f>
        <v>-560.7441</v>
      </c>
      <c r="H92" s="18">
        <f>-H123</f>
        <v>-591.58502550000003</v>
      </c>
      <c r="I92" s="18">
        <f>-I123</f>
        <v>-627.08012702999997</v>
      </c>
      <c r="J92" s="18">
        <f>-J123</f>
        <v>-664.70493465179993</v>
      </c>
      <c r="K92" s="18">
        <f>-K123</f>
        <v>-704.587230730908</v>
      </c>
    </row>
    <row r="93" spans="1:12" hidden="1" outlineLevel="1" x14ac:dyDescent="0.35">
      <c r="A93" s="8" t="s">
        <v>107</v>
      </c>
      <c r="B93" s="17">
        <v>-640</v>
      </c>
      <c r="C93" s="17">
        <v>7</v>
      </c>
      <c r="D93" s="17">
        <v>5657</v>
      </c>
      <c r="E93" s="17">
        <v>-416</v>
      </c>
      <c r="F93" s="17">
        <v>-4293</v>
      </c>
      <c r="G93" s="18">
        <f>-(G65-F65)</f>
        <v>-1576.8074999999953</v>
      </c>
      <c r="H93" s="18">
        <f>-(H65-G65)</f>
        <v>-2313.0694125000009</v>
      </c>
      <c r="I93" s="18">
        <f>-(I65-H65)</f>
        <v>-2662.1326147500004</v>
      </c>
      <c r="J93" s="18">
        <f>-(J65-I65)</f>
        <v>-2821.8605716349994</v>
      </c>
      <c r="K93" s="18">
        <f>-(K65-J65)</f>
        <v>-2991.1722059331005</v>
      </c>
    </row>
    <row r="94" spans="1:12" hidden="1" outlineLevel="1" x14ac:dyDescent="0.35">
      <c r="A94" s="8" t="s">
        <v>108</v>
      </c>
      <c r="B94" s="17">
        <v>0</v>
      </c>
      <c r="C94" s="17">
        <v>0</v>
      </c>
      <c r="D94" s="17">
        <v>0</v>
      </c>
      <c r="E94" s="17">
        <v>-1063</v>
      </c>
      <c r="F94" s="17">
        <v>-7554</v>
      </c>
      <c r="G94" s="18">
        <f>-G25</f>
        <v>0</v>
      </c>
      <c r="H94" s="18">
        <f>-H25</f>
        <v>0</v>
      </c>
      <c r="I94" s="18">
        <f>-I25</f>
        <v>0</v>
      </c>
      <c r="J94" s="18">
        <f>-J25</f>
        <v>0</v>
      </c>
      <c r="K94" s="18">
        <f>-K25</f>
        <v>0</v>
      </c>
    </row>
    <row r="95" spans="1:12" hidden="1" outlineLevel="1" x14ac:dyDescent="0.35">
      <c r="A95" s="8" t="s">
        <v>109</v>
      </c>
      <c r="B95" s="17">
        <v>2738</v>
      </c>
      <c r="C95" s="17">
        <v>3132</v>
      </c>
      <c r="D95" s="17">
        <v>3043</v>
      </c>
      <c r="E95" s="17">
        <v>3098</v>
      </c>
      <c r="F95" s="17">
        <v>3148</v>
      </c>
      <c r="G95" s="18">
        <f>G48</f>
        <v>3517.2</v>
      </c>
      <c r="H95" s="18">
        <f>H48</f>
        <v>3970.4302981380151</v>
      </c>
      <c r="I95" s="18">
        <f>I48</f>
        <v>4478.1665964212971</v>
      </c>
      <c r="J95" s="18">
        <f>J48</f>
        <v>5004.822663095345</v>
      </c>
      <c r="K95" s="18">
        <f>K48</f>
        <v>5498.2186579189784</v>
      </c>
    </row>
    <row r="96" spans="1:12" hidden="1" outlineLevel="1" x14ac:dyDescent="0.35">
      <c r="A96" s="19" t="s">
        <v>110</v>
      </c>
      <c r="B96" s="20">
        <f t="shared" ref="B96:K96" si="17">SUM(B91:B95)</f>
        <v>-897</v>
      </c>
      <c r="C96" s="20">
        <f t="shared" si="17"/>
        <v>39</v>
      </c>
      <c r="D96" s="20">
        <f t="shared" si="17"/>
        <v>6026</v>
      </c>
      <c r="E96" s="20">
        <f t="shared" si="17"/>
        <v>-2318</v>
      </c>
      <c r="F96" s="20">
        <f t="shared" si="17"/>
        <v>-12845</v>
      </c>
      <c r="G96" s="20">
        <f>SUM(G91:G95)</f>
        <v>-2265.1882499999956</v>
      </c>
      <c r="H96" s="20">
        <f t="shared" si="17"/>
        <v>-2779.5268056119858</v>
      </c>
      <c r="I96" s="20">
        <f t="shared" si="17"/>
        <v>-2887.0669710537031</v>
      </c>
      <c r="J96" s="20">
        <f t="shared" si="17"/>
        <v>-2802.324918428154</v>
      </c>
      <c r="K96" s="20">
        <f t="shared" si="17"/>
        <v>-2777.3577784959325</v>
      </c>
    </row>
    <row r="97" spans="1:12" hidden="1" outlineLevel="1" x14ac:dyDescent="0.35">
      <c r="A97" s="8" t="s">
        <v>111</v>
      </c>
      <c r="B97" s="17">
        <v>-13375</v>
      </c>
      <c r="C97" s="17">
        <v>-41410</v>
      </c>
      <c r="D97" s="17">
        <v>-25218</v>
      </c>
      <c r="E97" s="17">
        <v>-44962</v>
      </c>
      <c r="F97" s="17">
        <v>-39571</v>
      </c>
      <c r="G97" s="18">
        <f>-G55*G38</f>
        <v>-45807.824347646398</v>
      </c>
      <c r="H97" s="18">
        <f>-H55*H38</f>
        <v>-48383.350643202262</v>
      </c>
      <c r="I97" s="18">
        <f>-I55*I38</f>
        <v>-51409.362218992879</v>
      </c>
      <c r="J97" s="18">
        <f>-J55*J38</f>
        <v>-54626.688108314745</v>
      </c>
      <c r="K97" s="18">
        <f>-K55*K38</f>
        <v>-58005.768999920772</v>
      </c>
    </row>
    <row r="98" spans="1:12" hidden="1" outlineLevel="1" x14ac:dyDescent="0.35">
      <c r="A98" s="8" t="s">
        <v>112</v>
      </c>
      <c r="B98" s="17">
        <v>-18067</v>
      </c>
      <c r="C98" s="17">
        <v>-4174</v>
      </c>
      <c r="D98" s="17">
        <v>-21005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</row>
    <row r="99" spans="1:12" hidden="1" outlineLevel="1" x14ac:dyDescent="0.35">
      <c r="A99" s="8" t="s">
        <v>113</v>
      </c>
      <c r="B99" s="17">
        <v>-1417</v>
      </c>
      <c r="C99" s="17">
        <v>-1515</v>
      </c>
      <c r="D99" s="17">
        <v>-1614</v>
      </c>
      <c r="E99" s="17">
        <v>-1664</v>
      </c>
      <c r="F99" s="17">
        <v>-1861</v>
      </c>
      <c r="G99" s="18">
        <f>-G140</f>
        <v>-2256.6</v>
      </c>
      <c r="H99" s="18">
        <f>-H140</f>
        <v>-2478.17292</v>
      </c>
      <c r="I99" s="18">
        <f>-I140</f>
        <v>-2692.4403665999998</v>
      </c>
      <c r="J99" s="18">
        <f>-J140</f>
        <v>-2906.4484457159997</v>
      </c>
      <c r="K99" s="18">
        <f>-K140</f>
        <v>-3122.8046781549597</v>
      </c>
    </row>
    <row r="100" spans="1:12" hidden="1" outlineLevel="1" x14ac:dyDescent="0.35">
      <c r="A100" s="8" t="s">
        <v>114</v>
      </c>
      <c r="B100" s="17">
        <v>-698</v>
      </c>
      <c r="C100" s="17">
        <v>-779</v>
      </c>
      <c r="D100" s="17">
        <v>-699</v>
      </c>
      <c r="E100" s="17">
        <v>-840</v>
      </c>
      <c r="F100" s="17">
        <v>-901</v>
      </c>
      <c r="G100" s="18">
        <f>-G50</f>
        <v>-1242.8778915</v>
      </c>
      <c r="H100" s="18">
        <f>-H50</f>
        <v>-1357.2859877325</v>
      </c>
      <c r="I100" s="18">
        <f>-I50</f>
        <v>-1469.7083132329499</v>
      </c>
      <c r="J100" s="18">
        <f>-J50</f>
        <v>-1582.6789450161268</v>
      </c>
      <c r="K100" s="18">
        <f>-K50</f>
        <v>-1697.4701881084543</v>
      </c>
    </row>
    <row r="101" spans="1:12" hidden="1" outlineLevel="1" x14ac:dyDescent="0.35">
      <c r="A101" s="8" t="s">
        <v>115</v>
      </c>
      <c r="B101" s="17">
        <v>0</v>
      </c>
      <c r="C101" s="17">
        <v>0</v>
      </c>
      <c r="D101" s="17">
        <v>0</v>
      </c>
      <c r="E101" s="17">
        <v>0</v>
      </c>
      <c r="F101" s="17">
        <v>0</v>
      </c>
      <c r="G101" s="18">
        <f>G143</f>
        <v>0</v>
      </c>
      <c r="H101" s="18">
        <f>H143</f>
        <v>0</v>
      </c>
      <c r="I101" s="18">
        <f>I143</f>
        <v>0</v>
      </c>
      <c r="J101" s="18">
        <f>J143</f>
        <v>0</v>
      </c>
      <c r="K101" s="18">
        <f>K143</f>
        <v>0</v>
      </c>
    </row>
    <row r="102" spans="1:12" hidden="1" outlineLevel="1" x14ac:dyDescent="0.35">
      <c r="A102" s="8" t="s">
        <v>116</v>
      </c>
      <c r="B102" s="17">
        <v>-24</v>
      </c>
      <c r="C102" s="17">
        <v>0</v>
      </c>
      <c r="D102" s="17">
        <v>0</v>
      </c>
      <c r="E102" s="17">
        <v>28</v>
      </c>
      <c r="F102" s="17">
        <v>200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</row>
    <row r="103" spans="1:12" hidden="1" outlineLevel="1" x14ac:dyDescent="0.35">
      <c r="A103" s="19" t="s">
        <v>117</v>
      </c>
      <c r="B103" s="20">
        <f t="shared" ref="B103:K103" si="18">SUM(B97:B102)</f>
        <v>-33581</v>
      </c>
      <c r="C103" s="20">
        <f t="shared" si="18"/>
        <v>-47878</v>
      </c>
      <c r="D103" s="20">
        <f t="shared" si="18"/>
        <v>-48536</v>
      </c>
      <c r="E103" s="20">
        <f t="shared" si="18"/>
        <v>-47438</v>
      </c>
      <c r="F103" s="20">
        <f t="shared" si="18"/>
        <v>-42133</v>
      </c>
      <c r="G103" s="20">
        <f t="shared" si="18"/>
        <v>-49307.302239146396</v>
      </c>
      <c r="H103" s="20">
        <f t="shared" si="18"/>
        <v>-52218.809550934762</v>
      </c>
      <c r="I103" s="20">
        <f t="shared" si="18"/>
        <v>-55571.510898825829</v>
      </c>
      <c r="J103" s="20">
        <f t="shared" si="18"/>
        <v>-59115.815499046876</v>
      </c>
      <c r="K103" s="20">
        <f t="shared" si="18"/>
        <v>-62826.043866184184</v>
      </c>
    </row>
    <row r="104" spans="1:12" hidden="1" outlineLevel="1" x14ac:dyDescent="0.35">
      <c r="A104" s="19" t="s">
        <v>118</v>
      </c>
      <c r="B104" s="20">
        <f t="shared" ref="B104:K104" si="19">B90+B96+B103</f>
        <v>5471</v>
      </c>
      <c r="C104" s="20">
        <f t="shared" si="19"/>
        <v>-5874</v>
      </c>
      <c r="D104" s="20">
        <f t="shared" si="19"/>
        <v>1828</v>
      </c>
      <c r="E104" s="20">
        <f t="shared" si="19"/>
        <v>-848</v>
      </c>
      <c r="F104" s="20">
        <f t="shared" si="19"/>
        <v>-2884</v>
      </c>
      <c r="G104" s="20">
        <f t="shared" si="19"/>
        <v>4466.2631418402088</v>
      </c>
      <c r="H104" s="20">
        <f t="shared" si="19"/>
        <v>4456.7478979437583</v>
      </c>
      <c r="I104" s="20">
        <f t="shared" si="19"/>
        <v>4359.9482742373002</v>
      </c>
      <c r="J104" s="20">
        <f t="shared" si="19"/>
        <v>3756.7526926801147</v>
      </c>
      <c r="K104" s="20">
        <f t="shared" si="19"/>
        <v>3970.9154334783452</v>
      </c>
    </row>
    <row r="105" spans="1:12" hidden="1" outlineLevel="1" x14ac:dyDescent="0.35">
      <c r="A105" s="8" t="s">
        <v>119</v>
      </c>
      <c r="B105" s="17">
        <v>6858</v>
      </c>
      <c r="C105" s="17">
        <v>12488</v>
      </c>
      <c r="D105" s="17">
        <v>7123</v>
      </c>
      <c r="E105" s="17">
        <v>9016</v>
      </c>
      <c r="F105" s="17">
        <v>8342</v>
      </c>
      <c r="G105" s="18">
        <f>F107</f>
        <v>6417</v>
      </c>
      <c r="H105" s="18">
        <f>G107</f>
        <v>10883.263141840209</v>
      </c>
      <c r="I105" s="18">
        <f>H107</f>
        <v>15340.011039783967</v>
      </c>
      <c r="J105" s="18">
        <f>I107</f>
        <v>19699.959314021267</v>
      </c>
      <c r="K105" s="18">
        <f>J107</f>
        <v>23456.712006701382</v>
      </c>
    </row>
    <row r="106" spans="1:12" hidden="1" outlineLevel="1" x14ac:dyDescent="0.35">
      <c r="A106" s="8" t="s">
        <v>120</v>
      </c>
      <c r="B106" s="17">
        <v>159</v>
      </c>
      <c r="C106" s="17">
        <v>509</v>
      </c>
      <c r="D106" s="17">
        <v>65</v>
      </c>
      <c r="E106" s="17">
        <v>174</v>
      </c>
      <c r="F106" s="17">
        <v>959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</row>
    <row r="107" spans="1:12" hidden="1" outlineLevel="1" x14ac:dyDescent="0.35">
      <c r="A107" s="19" t="s">
        <v>121</v>
      </c>
      <c r="B107" s="20">
        <f t="shared" ref="B107:K107" si="20">B105+B104+B106</f>
        <v>12488</v>
      </c>
      <c r="C107" s="20">
        <f t="shared" si="20"/>
        <v>7123</v>
      </c>
      <c r="D107" s="20">
        <f t="shared" si="20"/>
        <v>9016</v>
      </c>
      <c r="E107" s="20">
        <f t="shared" si="20"/>
        <v>8342</v>
      </c>
      <c r="F107" s="20">
        <f t="shared" si="20"/>
        <v>6417</v>
      </c>
      <c r="G107" s="20">
        <f t="shared" si="20"/>
        <v>10883.263141840209</v>
      </c>
      <c r="H107" s="20">
        <f t="shared" si="20"/>
        <v>15340.011039783967</v>
      </c>
      <c r="I107" s="20">
        <f t="shared" si="20"/>
        <v>19699.959314021267</v>
      </c>
      <c r="J107" s="20">
        <f t="shared" si="20"/>
        <v>23456.712006701382</v>
      </c>
      <c r="K107" s="20">
        <f t="shared" si="20"/>
        <v>27427.627440179727</v>
      </c>
    </row>
    <row r="108" spans="1:12" hidden="1" outlineLevel="1" x14ac:dyDescent="0.35">
      <c r="A108" s="24" t="s">
        <v>122</v>
      </c>
      <c r="B108" s="25">
        <f t="shared" ref="B108:K108" si="21">ROUND(B107-B67,3)</f>
        <v>0</v>
      </c>
      <c r="C108" s="25">
        <f t="shared" si="21"/>
        <v>0</v>
      </c>
      <c r="D108" s="25">
        <f t="shared" si="21"/>
        <v>0</v>
      </c>
      <c r="E108" s="25">
        <f t="shared" si="21"/>
        <v>0</v>
      </c>
      <c r="F108" s="25">
        <f t="shared" si="21"/>
        <v>0</v>
      </c>
      <c r="G108" s="25">
        <f t="shared" si="21"/>
        <v>0</v>
      </c>
      <c r="H108" s="25">
        <f t="shared" si="21"/>
        <v>0</v>
      </c>
      <c r="I108" s="25">
        <f t="shared" si="21"/>
        <v>0</v>
      </c>
      <c r="J108" s="25">
        <f t="shared" si="21"/>
        <v>0</v>
      </c>
      <c r="K108" s="25">
        <f t="shared" si="21"/>
        <v>0</v>
      </c>
    </row>
    <row r="109" spans="1:12" collapsed="1" x14ac:dyDescent="0.35"/>
    <row r="110" spans="1:12" ht="23.5" customHeight="1" x14ac:dyDescent="0.35">
      <c r="A110" s="6" t="s">
        <v>123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hidden="1" outlineLevel="1" x14ac:dyDescent="0.35">
      <c r="A111" s="7" t="s">
        <v>124</v>
      </c>
    </row>
    <row r="112" spans="1:12" hidden="1" outlineLevel="1" x14ac:dyDescent="0.35">
      <c r="A112" s="8" t="s">
        <v>125</v>
      </c>
      <c r="B112" s="18"/>
      <c r="C112" s="18">
        <f t="shared" ref="C112:K112" si="22">B61</f>
        <v>11979</v>
      </c>
      <c r="D112" s="18">
        <f t="shared" si="22"/>
        <v>11464</v>
      </c>
      <c r="E112" s="18">
        <f t="shared" si="22"/>
        <v>10940</v>
      </c>
      <c r="F112" s="18">
        <f t="shared" si="22"/>
        <v>12524</v>
      </c>
      <c r="G112" s="18">
        <f t="shared" si="22"/>
        <v>13697</v>
      </c>
      <c r="H112" s="18">
        <f t="shared" si="22"/>
        <v>14191.526650000002</v>
      </c>
      <c r="I112" s="18">
        <f t="shared" si="22"/>
        <v>14772.778186250001</v>
      </c>
      <c r="J112" s="18">
        <f t="shared" si="22"/>
        <v>15451.060029107501</v>
      </c>
      <c r="K112" s="18">
        <f t="shared" si="22"/>
        <v>16217.898297649477</v>
      </c>
    </row>
    <row r="113" spans="1:11" hidden="1" outlineLevel="1" x14ac:dyDescent="0.35">
      <c r="A113" s="8" t="s">
        <v>126</v>
      </c>
      <c r="B113" s="18"/>
      <c r="C113" s="18">
        <f>-C91</f>
        <v>2745</v>
      </c>
      <c r="D113" s="18">
        <f>-D91</f>
        <v>2232</v>
      </c>
      <c r="E113" s="18">
        <f>-E91</f>
        <v>2993</v>
      </c>
      <c r="F113" s="18">
        <f>-F91</f>
        <v>3779</v>
      </c>
      <c r="G113" s="18">
        <f>G41*G19</f>
        <v>3644.8366499999997</v>
      </c>
      <c r="H113" s="18">
        <f>H41*H19</f>
        <v>3845.30266575</v>
      </c>
      <c r="I113" s="18">
        <f>I41*I19</f>
        <v>4076.0208256949995</v>
      </c>
      <c r="J113" s="18">
        <f>J41*J19</f>
        <v>4320.5820752366999</v>
      </c>
      <c r="K113" s="18">
        <f>K41*K19</f>
        <v>4579.8169997509021</v>
      </c>
    </row>
    <row r="114" spans="1:11" hidden="1" outlineLevel="1" x14ac:dyDescent="0.35">
      <c r="A114" s="8" t="s">
        <v>127</v>
      </c>
      <c r="B114" s="18"/>
      <c r="C114" s="18">
        <f>C112+C113-C115</f>
        <v>3260</v>
      </c>
      <c r="D114" s="18">
        <f>D112+D113-D115</f>
        <v>2756</v>
      </c>
      <c r="E114" s="18">
        <f>E112+E113-E115</f>
        <v>1409</v>
      </c>
      <c r="F114" s="18">
        <f>F112+F113-F115</f>
        <v>2606</v>
      </c>
      <c r="G114" s="18">
        <f>G112*G20</f>
        <v>3150.31</v>
      </c>
      <c r="H114" s="18">
        <f>H112*H20</f>
        <v>3264.0511295000006</v>
      </c>
      <c r="I114" s="18">
        <f>I112*I20</f>
        <v>3397.7389828375003</v>
      </c>
      <c r="J114" s="18">
        <f>J112*J20</f>
        <v>3553.7438066947252</v>
      </c>
      <c r="K114" s="18">
        <f>K112*K20</f>
        <v>3730.1166084593801</v>
      </c>
    </row>
    <row r="115" spans="1:11" hidden="1" outlineLevel="1" x14ac:dyDescent="0.35">
      <c r="A115" s="19" t="s">
        <v>128</v>
      </c>
      <c r="B115" s="20">
        <f>B61</f>
        <v>11979</v>
      </c>
      <c r="C115" s="20">
        <f>C61</f>
        <v>11464</v>
      </c>
      <c r="D115" s="20">
        <f>D61</f>
        <v>10940</v>
      </c>
      <c r="E115" s="20">
        <f>E61</f>
        <v>12524</v>
      </c>
      <c r="F115" s="20">
        <f>F61</f>
        <v>13697</v>
      </c>
      <c r="G115" s="20">
        <f>G112+G113-G114</f>
        <v>14191.526650000002</v>
      </c>
      <c r="H115" s="20">
        <f>H112+H113-H114</f>
        <v>14772.778186250001</v>
      </c>
      <c r="I115" s="20">
        <f>I112+I113-I114</f>
        <v>15451.060029107501</v>
      </c>
      <c r="J115" s="20">
        <f>J112+J113-J114</f>
        <v>16217.898297649477</v>
      </c>
      <c r="K115" s="20">
        <f>K112+K113-K114</f>
        <v>17067.598688941001</v>
      </c>
    </row>
    <row r="116" spans="1:11" hidden="1" outlineLevel="1" x14ac:dyDescent="0.35">
      <c r="A116" s="7" t="s">
        <v>129</v>
      </c>
    </row>
    <row r="117" spans="1:11" hidden="1" outlineLevel="1" x14ac:dyDescent="0.35">
      <c r="A117" s="8" t="s">
        <v>130</v>
      </c>
      <c r="B117" s="18"/>
      <c r="C117" s="18">
        <f t="shared" ref="C117:K117" si="23">B62</f>
        <v>7636</v>
      </c>
      <c r="D117" s="18">
        <f t="shared" si="23"/>
        <v>7560</v>
      </c>
      <c r="E117" s="18">
        <f t="shared" si="23"/>
        <v>7886</v>
      </c>
      <c r="F117" s="18">
        <f t="shared" si="23"/>
        <v>9275</v>
      </c>
      <c r="G117" s="18">
        <f t="shared" si="23"/>
        <v>11027</v>
      </c>
      <c r="H117" s="18">
        <f t="shared" si="23"/>
        <v>12075.794599999999</v>
      </c>
      <c r="I117" s="18">
        <f t="shared" si="23"/>
        <v>13089.387887000001</v>
      </c>
      <c r="J117" s="18">
        <f t="shared" si="23"/>
        <v>14103.09719291</v>
      </c>
      <c r="K117" s="18">
        <f t="shared" si="23"/>
        <v>15129.6763903097</v>
      </c>
    </row>
    <row r="118" spans="1:11" hidden="1" outlineLevel="1" x14ac:dyDescent="0.35">
      <c r="A118" s="8" t="s">
        <v>131</v>
      </c>
      <c r="B118" s="18"/>
      <c r="C118" s="18">
        <f>C71-B71-C99</f>
        <v>1385</v>
      </c>
      <c r="D118" s="18">
        <f>D71-C71-D99</f>
        <v>1947</v>
      </c>
      <c r="E118" s="18">
        <f>E71-D71-E99</f>
        <v>3035</v>
      </c>
      <c r="F118" s="18">
        <f>F71-E71-F99</f>
        <v>3752</v>
      </c>
      <c r="G118" s="18">
        <f>G41*G23</f>
        <v>3364.4645999999998</v>
      </c>
      <c r="H118" s="18">
        <f>H41*H23</f>
        <v>3549.5101530000002</v>
      </c>
      <c r="I118" s="18">
        <f>I41*I23</f>
        <v>3762.4807621800001</v>
      </c>
      <c r="J118" s="18">
        <f>J41*J23</f>
        <v>3988.2296079108</v>
      </c>
      <c r="K118" s="18">
        <f>K41*K23</f>
        <v>4227.5233843854485</v>
      </c>
    </row>
    <row r="119" spans="1:11" hidden="1" outlineLevel="1" x14ac:dyDescent="0.35">
      <c r="A119" s="8" t="s">
        <v>132</v>
      </c>
      <c r="B119" s="18"/>
      <c r="C119" s="18">
        <f>C117+C118-C120</f>
        <v>1461</v>
      </c>
      <c r="D119" s="18">
        <f>D117+D118-D120</f>
        <v>1621</v>
      </c>
      <c r="E119" s="18">
        <f>E117+E118-E120</f>
        <v>1646</v>
      </c>
      <c r="F119" s="18">
        <f>F117+F118-F120</f>
        <v>2000</v>
      </c>
      <c r="G119" s="18">
        <f>G117*G24</f>
        <v>2315.67</v>
      </c>
      <c r="H119" s="18">
        <f>H117*H24</f>
        <v>2535.9168659999996</v>
      </c>
      <c r="I119" s="18">
        <f>I117*I24</f>
        <v>2748.7714562700003</v>
      </c>
      <c r="J119" s="18">
        <f>J117*J24</f>
        <v>2961.6504105110998</v>
      </c>
      <c r="K119" s="18">
        <f>K117*K24</f>
        <v>3177.2320419650368</v>
      </c>
    </row>
    <row r="120" spans="1:11" hidden="1" outlineLevel="1" x14ac:dyDescent="0.35">
      <c r="A120" s="19" t="s">
        <v>133</v>
      </c>
      <c r="B120" s="20">
        <f>B62</f>
        <v>7636</v>
      </c>
      <c r="C120" s="20">
        <f>C62</f>
        <v>7560</v>
      </c>
      <c r="D120" s="20">
        <f>D62</f>
        <v>7886</v>
      </c>
      <c r="E120" s="20">
        <f>E62</f>
        <v>9275</v>
      </c>
      <c r="F120" s="20">
        <f>F62</f>
        <v>11027</v>
      </c>
      <c r="G120" s="20">
        <f>G117+G118-G119</f>
        <v>12075.794599999999</v>
      </c>
      <c r="H120" s="20">
        <f>H117+H118-H119</f>
        <v>13089.387887000001</v>
      </c>
      <c r="I120" s="20">
        <f>I117+I118-I119</f>
        <v>14103.09719291</v>
      </c>
      <c r="J120" s="20">
        <f>J117+J118-J119</f>
        <v>15129.6763903097</v>
      </c>
      <c r="K120" s="20">
        <f>K117+K118-K119</f>
        <v>16179.967732730112</v>
      </c>
    </row>
    <row r="121" spans="1:11" hidden="1" outlineLevel="1" x14ac:dyDescent="0.35">
      <c r="A121" s="7" t="s">
        <v>134</v>
      </c>
    </row>
    <row r="122" spans="1:11" hidden="1" outlineLevel="1" x14ac:dyDescent="0.35">
      <c r="A122" s="8" t="s">
        <v>135</v>
      </c>
      <c r="B122" s="18"/>
      <c r="C122" s="18">
        <f t="shared" ref="C122:K122" si="24">B64</f>
        <v>1101</v>
      </c>
      <c r="D122" s="18">
        <f t="shared" si="24"/>
        <v>867</v>
      </c>
      <c r="E122" s="18">
        <f t="shared" si="24"/>
        <v>510</v>
      </c>
      <c r="F122" s="18">
        <f t="shared" si="24"/>
        <v>940</v>
      </c>
      <c r="G122" s="18">
        <f t="shared" si="24"/>
        <v>176</v>
      </c>
      <c r="H122" s="18">
        <f t="shared" si="24"/>
        <v>368.37205</v>
      </c>
      <c r="I122" s="18">
        <f t="shared" si="24"/>
        <v>479.97853774999999</v>
      </c>
      <c r="J122" s="18">
        <f t="shared" si="24"/>
        <v>553.52933239000004</v>
      </c>
      <c r="K122" s="18">
        <f t="shared" si="24"/>
        <v>609.11713352089998</v>
      </c>
    </row>
    <row r="123" spans="1:11" hidden="1" outlineLevel="1" x14ac:dyDescent="0.35">
      <c r="A123" s="8" t="s">
        <v>136</v>
      </c>
      <c r="B123" s="18"/>
      <c r="C123" s="18">
        <f>-C92</f>
        <v>355</v>
      </c>
      <c r="D123" s="18">
        <f>-D92</f>
        <v>442</v>
      </c>
      <c r="E123" s="18">
        <f>-E92</f>
        <v>944</v>
      </c>
      <c r="F123" s="18">
        <f>-F92</f>
        <v>367</v>
      </c>
      <c r="G123" s="18">
        <f>G41*G21</f>
        <v>560.7441</v>
      </c>
      <c r="H123" s="18">
        <f>H41*H21</f>
        <v>591.58502550000003</v>
      </c>
      <c r="I123" s="18">
        <f>I41*I21</f>
        <v>627.08012702999997</v>
      </c>
      <c r="J123" s="18">
        <f>J41*J21</f>
        <v>664.70493465179993</v>
      </c>
      <c r="K123" s="18">
        <f>K41*K21</f>
        <v>704.587230730908</v>
      </c>
    </row>
    <row r="124" spans="1:11" hidden="1" outlineLevel="1" x14ac:dyDescent="0.35">
      <c r="A124" s="8" t="s">
        <v>137</v>
      </c>
      <c r="B124" s="18"/>
      <c r="C124" s="18">
        <f>C122+C123-C125</f>
        <v>589</v>
      </c>
      <c r="D124" s="18">
        <f>D122+D123-D125</f>
        <v>799</v>
      </c>
      <c r="E124" s="18">
        <f>E122+E123-E125</f>
        <v>514</v>
      </c>
      <c r="F124" s="18">
        <f>F122+F123-F125</f>
        <v>1131</v>
      </c>
      <c r="G124" s="18">
        <f>(G122+G123)*G22</f>
        <v>368.37205</v>
      </c>
      <c r="H124" s="18">
        <f>(H122+H123)*H22</f>
        <v>479.97853774999999</v>
      </c>
      <c r="I124" s="18">
        <f>(I122+I123)*I22</f>
        <v>553.52933239000004</v>
      </c>
      <c r="J124" s="18">
        <f>(J122+J123)*J22</f>
        <v>609.11713352089998</v>
      </c>
      <c r="K124" s="18">
        <f>(K122+K123)*K22</f>
        <v>656.85218212590394</v>
      </c>
    </row>
    <row r="125" spans="1:11" hidden="1" outlineLevel="1" x14ac:dyDescent="0.35">
      <c r="A125" s="19" t="s">
        <v>138</v>
      </c>
      <c r="B125" s="20">
        <f>B64</f>
        <v>1101</v>
      </c>
      <c r="C125" s="20">
        <f>C64</f>
        <v>867</v>
      </c>
      <c r="D125" s="20">
        <f>D64</f>
        <v>510</v>
      </c>
      <c r="E125" s="20">
        <f>E64</f>
        <v>940</v>
      </c>
      <c r="F125" s="20">
        <f>F64</f>
        <v>176</v>
      </c>
      <c r="G125" s="20">
        <f>G122+G123-G124</f>
        <v>368.37205</v>
      </c>
      <c r="H125" s="20">
        <f>H122+H123-H124</f>
        <v>479.97853774999999</v>
      </c>
      <c r="I125" s="20">
        <f>I122+I123-I124</f>
        <v>553.52933239000004</v>
      </c>
      <c r="J125" s="20">
        <f>J122+J123-J124</f>
        <v>609.11713352089998</v>
      </c>
      <c r="K125" s="20">
        <f>K122+K123-K124</f>
        <v>656.85218212590394</v>
      </c>
    </row>
    <row r="126" spans="1:11" hidden="1" outlineLevel="1" x14ac:dyDescent="0.35">
      <c r="A126" s="19" t="s">
        <v>139</v>
      </c>
      <c r="B126" s="26">
        <f>B46</f>
        <v>4604</v>
      </c>
      <c r="C126" s="26">
        <f>C46</f>
        <v>5022</v>
      </c>
      <c r="D126" s="26">
        <f>D46</f>
        <v>4985</v>
      </c>
      <c r="E126" s="26">
        <f>E46</f>
        <v>5242</v>
      </c>
      <c r="F126" s="26">
        <f>F46</f>
        <v>5560</v>
      </c>
      <c r="G126" s="26">
        <f>G114+G119+G124</f>
        <v>5834.3520499999995</v>
      </c>
      <c r="H126" s="26">
        <f>H114+H119+H124</f>
        <v>6279.9465332500004</v>
      </c>
      <c r="I126" s="26">
        <f>I114+I119+I124</f>
        <v>6700.0397714975006</v>
      </c>
      <c r="J126" s="26">
        <f>J114+J119+J124</f>
        <v>7124.5113507267251</v>
      </c>
      <c r="K126" s="26">
        <f>K114+K119+K124</f>
        <v>7564.2008325503211</v>
      </c>
    </row>
    <row r="127" spans="1:11" hidden="1" outlineLevel="1" x14ac:dyDescent="0.35">
      <c r="A127" s="19"/>
      <c r="B127" s="26"/>
      <c r="C127" s="26"/>
      <c r="D127" s="26"/>
      <c r="E127" s="26"/>
      <c r="F127" s="26"/>
      <c r="G127" s="26"/>
      <c r="H127" s="26"/>
      <c r="I127" s="26"/>
      <c r="J127" s="26"/>
      <c r="K127" s="26"/>
    </row>
    <row r="128" spans="1:11" hidden="1" outlineLevel="1" x14ac:dyDescent="0.35">
      <c r="A128" s="7" t="s">
        <v>140</v>
      </c>
    </row>
    <row r="129" spans="1:11" hidden="1" outlineLevel="1" x14ac:dyDescent="0.35">
      <c r="A129" s="8" t="s">
        <v>83</v>
      </c>
      <c r="B129" s="18">
        <f>B66</f>
        <v>41810</v>
      </c>
      <c r="C129" s="18">
        <f>C66</f>
        <v>49954</v>
      </c>
      <c r="D129" s="18">
        <f>D66</f>
        <v>53577</v>
      </c>
      <c r="E129" s="18">
        <f>E66</f>
        <v>59046</v>
      </c>
      <c r="F129" s="18">
        <f>F66</f>
        <v>67714</v>
      </c>
      <c r="G129" s="18">
        <f>G41*G27/365</f>
        <v>67596.549041095888</v>
      </c>
      <c r="H129" s="18">
        <f>H41*H27/365</f>
        <v>70503.968792465748</v>
      </c>
      <c r="I129" s="18">
        <f>I41*I27/365</f>
        <v>73875.193047369859</v>
      </c>
      <c r="J129" s="18">
        <f>J41*J27/365</f>
        <v>78307.704630212043</v>
      </c>
      <c r="K129" s="18">
        <f>K41*K27/365</f>
        <v>83006.166908024781</v>
      </c>
    </row>
    <row r="130" spans="1:11" hidden="1" outlineLevel="1" x14ac:dyDescent="0.35">
      <c r="A130" s="8" t="s">
        <v>85</v>
      </c>
      <c r="B130" s="18">
        <f>B68</f>
        <v>28495</v>
      </c>
      <c r="C130" s="18">
        <f>C68</f>
        <v>23753</v>
      </c>
      <c r="D130" s="18">
        <f>D68</f>
        <v>26656</v>
      </c>
      <c r="E130" s="18">
        <f>E68</f>
        <v>29557</v>
      </c>
      <c r="F130" s="18">
        <f>F68</f>
        <v>33754</v>
      </c>
      <c r="G130" s="18">
        <f>G41*G30</f>
        <v>33644.646000000001</v>
      </c>
      <c r="H130" s="18">
        <f>H41*H30</f>
        <v>35495.10153</v>
      </c>
      <c r="I130" s="18">
        <f>I41*I30</f>
        <v>37624.807621799999</v>
      </c>
      <c r="J130" s="18">
        <f>J41*J30</f>
        <v>39882.296079107997</v>
      </c>
      <c r="K130" s="18">
        <f>K41*K30</f>
        <v>42275.233843854476</v>
      </c>
    </row>
    <row r="131" spans="1:11" hidden="1" outlineLevel="1" x14ac:dyDescent="0.35">
      <c r="A131" s="8" t="s">
        <v>141</v>
      </c>
      <c r="B131" s="18">
        <f t="shared" ref="B131:F133" si="25">B73</f>
        <v>8045</v>
      </c>
      <c r="C131" s="18">
        <f t="shared" si="25"/>
        <v>10515</v>
      </c>
      <c r="D131" s="18">
        <f t="shared" si="25"/>
        <v>9981</v>
      </c>
      <c r="E131" s="18">
        <f t="shared" si="25"/>
        <v>13909</v>
      </c>
      <c r="F131" s="18">
        <f t="shared" si="25"/>
        <v>14808</v>
      </c>
      <c r="G131" s="18">
        <f>(G42+G44)*G28/365</f>
        <v>14018.602499999999</v>
      </c>
      <c r="H131" s="18">
        <f>(H42+H44)*H28/365</f>
        <v>14789.625637500001</v>
      </c>
      <c r="I131" s="18">
        <f>(I42+I44)*I28/365</f>
        <v>15677.003175749996</v>
      </c>
      <c r="J131" s="18">
        <f>(J42+J44)*J28/365</f>
        <v>16617.623366294996</v>
      </c>
      <c r="K131" s="18">
        <f>(K42+K44)*K28/365</f>
        <v>17614.680768272698</v>
      </c>
    </row>
    <row r="132" spans="1:11" hidden="1" outlineLevel="1" x14ac:dyDescent="0.35">
      <c r="A132" s="8" t="s">
        <v>142</v>
      </c>
      <c r="B132" s="18">
        <f t="shared" si="25"/>
        <v>3635</v>
      </c>
      <c r="C132" s="18">
        <f t="shared" si="25"/>
        <v>3843</v>
      </c>
      <c r="D132" s="18">
        <f t="shared" si="25"/>
        <v>3640</v>
      </c>
      <c r="E132" s="18">
        <f t="shared" si="25"/>
        <v>4028</v>
      </c>
      <c r="F132" s="18">
        <f t="shared" si="25"/>
        <v>4487</v>
      </c>
      <c r="G132" s="18">
        <f>G41*G29</f>
        <v>4626.138825</v>
      </c>
      <c r="H132" s="18">
        <f>H41*H29</f>
        <v>4880.5764603750004</v>
      </c>
      <c r="I132" s="18">
        <f>I41*I29</f>
        <v>5173.4110479974997</v>
      </c>
      <c r="J132" s="18">
        <f>J41*J29</f>
        <v>5483.8157108773503</v>
      </c>
      <c r="K132" s="18">
        <f>K41*K29</f>
        <v>5812.8446535299909</v>
      </c>
    </row>
    <row r="133" spans="1:11" hidden="1" outlineLevel="1" x14ac:dyDescent="0.35">
      <c r="A133" s="8" t="s">
        <v>143</v>
      </c>
      <c r="B133" s="18">
        <f t="shared" si="25"/>
        <v>32170</v>
      </c>
      <c r="C133" s="18">
        <f t="shared" si="25"/>
        <v>30399</v>
      </c>
      <c r="D133" s="18">
        <f t="shared" si="25"/>
        <v>33488</v>
      </c>
      <c r="E133" s="18">
        <f t="shared" si="25"/>
        <v>36529</v>
      </c>
      <c r="F133" s="18">
        <f t="shared" si="25"/>
        <v>43316</v>
      </c>
      <c r="G133" s="18">
        <f>G41*G31</f>
        <v>42055.807499999995</v>
      </c>
      <c r="H133" s="18">
        <f>H41*H31</f>
        <v>44368.876912499996</v>
      </c>
      <c r="I133" s="18">
        <f>I41*I31</f>
        <v>47031.009527249997</v>
      </c>
      <c r="J133" s="18">
        <f>J41*J31</f>
        <v>49852.870098884996</v>
      </c>
      <c r="K133" s="18">
        <f>K41*K31</f>
        <v>52844.042304818096</v>
      </c>
    </row>
    <row r="134" spans="1:11" hidden="1" outlineLevel="1" x14ac:dyDescent="0.35">
      <c r="A134" s="19" t="s">
        <v>144</v>
      </c>
      <c r="B134" s="20">
        <f t="shared" ref="B134:K134" si="26">B129+B130-B131-B132-B133</f>
        <v>26455</v>
      </c>
      <c r="C134" s="20">
        <f t="shared" si="26"/>
        <v>28950</v>
      </c>
      <c r="D134" s="20">
        <f t="shared" si="26"/>
        <v>33124</v>
      </c>
      <c r="E134" s="20">
        <f t="shared" si="26"/>
        <v>34137</v>
      </c>
      <c r="F134" s="20">
        <f t="shared" si="26"/>
        <v>38857</v>
      </c>
      <c r="G134" s="20">
        <f t="shared" si="26"/>
        <v>40540.646216095905</v>
      </c>
      <c r="H134" s="20">
        <f t="shared" si="26"/>
        <v>41959.991312090744</v>
      </c>
      <c r="I134" s="20">
        <f t="shared" si="26"/>
        <v>43618.576918172352</v>
      </c>
      <c r="J134" s="20">
        <f t="shared" si="26"/>
        <v>46235.691533262703</v>
      </c>
      <c r="K134" s="20">
        <f t="shared" si="26"/>
        <v>49009.833025258486</v>
      </c>
    </row>
    <row r="135" spans="1:11" hidden="1" outlineLevel="1" x14ac:dyDescent="0.35">
      <c r="A135" s="8" t="s">
        <v>145</v>
      </c>
      <c r="B135" s="18"/>
      <c r="C135" s="18">
        <f t="shared" ref="C135:K135" si="27">C134-B134</f>
        <v>2495</v>
      </c>
      <c r="D135" s="18">
        <f t="shared" si="27"/>
        <v>4174</v>
      </c>
      <c r="E135" s="18">
        <f t="shared" si="27"/>
        <v>1013</v>
      </c>
      <c r="F135" s="18">
        <f t="shared" si="27"/>
        <v>4720</v>
      </c>
      <c r="G135" s="18">
        <f t="shared" si="27"/>
        <v>1683.6462160959054</v>
      </c>
      <c r="H135" s="18">
        <f t="shared" si="27"/>
        <v>1419.3450959948386</v>
      </c>
      <c r="I135" s="18">
        <f t="shared" si="27"/>
        <v>1658.5856060816077</v>
      </c>
      <c r="J135" s="18">
        <f t="shared" si="27"/>
        <v>2617.1146150903514</v>
      </c>
      <c r="K135" s="18">
        <f t="shared" si="27"/>
        <v>2774.1414919957824</v>
      </c>
    </row>
    <row r="136" spans="1:11" hidden="1" outlineLevel="1" x14ac:dyDescent="0.35">
      <c r="A136" s="8"/>
      <c r="B136" s="18"/>
      <c r="C136" s="18"/>
      <c r="D136" s="18"/>
      <c r="E136" s="18"/>
      <c r="F136" s="18"/>
      <c r="G136" s="18"/>
      <c r="H136" s="18"/>
      <c r="I136" s="18"/>
      <c r="J136" s="18"/>
      <c r="K136" s="18"/>
    </row>
    <row r="137" spans="1:11" hidden="1" outlineLevel="1" x14ac:dyDescent="0.35">
      <c r="A137" s="7" t="s">
        <v>180</v>
      </c>
    </row>
    <row r="138" spans="1:11" hidden="1" outlineLevel="1" x14ac:dyDescent="0.35">
      <c r="A138" s="8" t="s">
        <v>146</v>
      </c>
      <c r="B138" s="18"/>
      <c r="C138" s="18">
        <f t="shared" ref="C138:K138" si="28">B71</f>
        <v>7818</v>
      </c>
      <c r="D138" s="18">
        <f t="shared" si="28"/>
        <v>7688</v>
      </c>
      <c r="E138" s="18">
        <f t="shared" si="28"/>
        <v>8021</v>
      </c>
      <c r="F138" s="18">
        <f t="shared" si="28"/>
        <v>9392</v>
      </c>
      <c r="G138" s="18">
        <f t="shared" si="28"/>
        <v>11283</v>
      </c>
      <c r="H138" s="18">
        <f t="shared" si="28"/>
        <v>12390.864599999999</v>
      </c>
      <c r="I138" s="18">
        <f t="shared" si="28"/>
        <v>13462.201832999999</v>
      </c>
      <c r="J138" s="18">
        <f t="shared" si="28"/>
        <v>14532.242228579998</v>
      </c>
      <c r="K138" s="18">
        <f t="shared" si="28"/>
        <v>15614.023390774797</v>
      </c>
    </row>
    <row r="139" spans="1:11" hidden="1" outlineLevel="1" x14ac:dyDescent="0.35">
      <c r="A139" s="8" t="s">
        <v>131</v>
      </c>
      <c r="B139" s="18"/>
      <c r="C139" s="18">
        <f t="shared" ref="C139:K139" si="29">C118</f>
        <v>1385</v>
      </c>
      <c r="D139" s="18">
        <f t="shared" si="29"/>
        <v>1947</v>
      </c>
      <c r="E139" s="18">
        <f t="shared" si="29"/>
        <v>3035</v>
      </c>
      <c r="F139" s="18">
        <f t="shared" si="29"/>
        <v>3752</v>
      </c>
      <c r="G139" s="18">
        <f t="shared" si="29"/>
        <v>3364.4645999999998</v>
      </c>
      <c r="H139" s="18">
        <f t="shared" si="29"/>
        <v>3549.5101530000002</v>
      </c>
      <c r="I139" s="18">
        <f t="shared" si="29"/>
        <v>3762.4807621800001</v>
      </c>
      <c r="J139" s="18">
        <f t="shared" si="29"/>
        <v>3988.2296079108</v>
      </c>
      <c r="K139" s="18">
        <f t="shared" si="29"/>
        <v>4227.5233843854485</v>
      </c>
    </row>
    <row r="140" spans="1:11" hidden="1" outlineLevel="1" x14ac:dyDescent="0.35">
      <c r="A140" s="8" t="s">
        <v>147</v>
      </c>
      <c r="B140" s="18"/>
      <c r="C140" s="18">
        <f>-C99</f>
        <v>1515</v>
      </c>
      <c r="D140" s="18">
        <f>-D99</f>
        <v>1614</v>
      </c>
      <c r="E140" s="18">
        <f>-E99</f>
        <v>1664</v>
      </c>
      <c r="F140" s="18">
        <f>-F99</f>
        <v>1861</v>
      </c>
      <c r="G140" s="18">
        <f>G138*G35</f>
        <v>2256.6</v>
      </c>
      <c r="H140" s="18">
        <f>H138*H35</f>
        <v>2478.17292</v>
      </c>
      <c r="I140" s="18">
        <f>I138*I35</f>
        <v>2692.4403665999998</v>
      </c>
      <c r="J140" s="18">
        <f>J138*J35</f>
        <v>2906.4484457159997</v>
      </c>
      <c r="K140" s="18">
        <f>K138*K35</f>
        <v>3122.8046781549597</v>
      </c>
    </row>
    <row r="141" spans="1:11" hidden="1" outlineLevel="1" x14ac:dyDescent="0.35">
      <c r="A141" s="19" t="s">
        <v>148</v>
      </c>
      <c r="B141" s="20">
        <f>B71</f>
        <v>7818</v>
      </c>
      <c r="C141" s="20">
        <f>C71</f>
        <v>7688</v>
      </c>
      <c r="D141" s="20">
        <f>D71</f>
        <v>8021</v>
      </c>
      <c r="E141" s="20">
        <f>E71</f>
        <v>9392</v>
      </c>
      <c r="F141" s="20">
        <f>F71</f>
        <v>11283</v>
      </c>
      <c r="G141" s="20">
        <f>G138+G139-G140</f>
        <v>12390.864599999999</v>
      </c>
      <c r="H141" s="20">
        <f>H138+H139-H140</f>
        <v>13462.201832999999</v>
      </c>
      <c r="I141" s="20">
        <f>I138+I139-I140</f>
        <v>14532.242228579998</v>
      </c>
      <c r="J141" s="20">
        <f>J138+J139-J140</f>
        <v>15614.023390774797</v>
      </c>
      <c r="K141" s="20">
        <f>K138+K139-K140</f>
        <v>16718.742097005284</v>
      </c>
    </row>
    <row r="142" spans="1:11" hidden="1" outlineLevel="1" x14ac:dyDescent="0.35">
      <c r="A142" s="8" t="s">
        <v>149</v>
      </c>
      <c r="B142" s="18"/>
      <c r="C142" s="18">
        <f t="shared" ref="C142:K142" si="30">B72</f>
        <v>0</v>
      </c>
      <c r="D142" s="18">
        <f t="shared" si="30"/>
        <v>0</v>
      </c>
      <c r="E142" s="18">
        <f t="shared" si="30"/>
        <v>0</v>
      </c>
      <c r="F142" s="18">
        <f t="shared" si="30"/>
        <v>0</v>
      </c>
      <c r="G142" s="18">
        <f t="shared" si="30"/>
        <v>0</v>
      </c>
      <c r="H142" s="18">
        <f t="shared" si="30"/>
        <v>0</v>
      </c>
      <c r="I142" s="18">
        <f t="shared" si="30"/>
        <v>0</v>
      </c>
      <c r="J142" s="18">
        <f t="shared" si="30"/>
        <v>0</v>
      </c>
      <c r="K142" s="18">
        <f t="shared" si="30"/>
        <v>0</v>
      </c>
    </row>
    <row r="143" spans="1:11" hidden="1" outlineLevel="1" x14ac:dyDescent="0.35">
      <c r="A143" s="8" t="s">
        <v>150</v>
      </c>
      <c r="B143" s="18"/>
      <c r="C143" s="18">
        <f>C101</f>
        <v>0</v>
      </c>
      <c r="D143" s="18">
        <f>D101</f>
        <v>0</v>
      </c>
      <c r="E143" s="18">
        <f>E101</f>
        <v>0</v>
      </c>
      <c r="F143" s="18">
        <f>F101</f>
        <v>0</v>
      </c>
      <c r="G143" s="18">
        <f>G36</f>
        <v>0</v>
      </c>
      <c r="H143" s="18">
        <f>H36</f>
        <v>0</v>
      </c>
      <c r="I143" s="18">
        <f>I36</f>
        <v>0</v>
      </c>
      <c r="J143" s="18">
        <f>J36</f>
        <v>0</v>
      </c>
      <c r="K143" s="18">
        <f>K36</f>
        <v>0</v>
      </c>
    </row>
    <row r="144" spans="1:11" hidden="1" outlineLevel="1" x14ac:dyDescent="0.35">
      <c r="A144" s="19" t="s">
        <v>151</v>
      </c>
      <c r="B144" s="20">
        <f>B72</f>
        <v>0</v>
      </c>
      <c r="C144" s="20">
        <f>C72</f>
        <v>0</v>
      </c>
      <c r="D144" s="20">
        <f>D72</f>
        <v>0</v>
      </c>
      <c r="E144" s="20">
        <f>E72</f>
        <v>0</v>
      </c>
      <c r="F144" s="20">
        <f>F72</f>
        <v>0</v>
      </c>
      <c r="G144" s="20">
        <f>G142+G143</f>
        <v>0</v>
      </c>
      <c r="H144" s="20">
        <f>H142+H143</f>
        <v>0</v>
      </c>
      <c r="I144" s="20">
        <f>I142+I143</f>
        <v>0</v>
      </c>
      <c r="J144" s="20">
        <f>J142+J143</f>
        <v>0</v>
      </c>
      <c r="K144" s="20">
        <f>K142+K143</f>
        <v>0</v>
      </c>
    </row>
    <row r="145" spans="1:11" hidden="1" outlineLevel="1" x14ac:dyDescent="0.35">
      <c r="A145" s="8" t="s">
        <v>152</v>
      </c>
      <c r="B145" s="18"/>
      <c r="C145" s="18"/>
      <c r="D145" s="18"/>
      <c r="E145" s="18"/>
      <c r="F145" s="18"/>
      <c r="G145" s="18">
        <f>AVERAGE(G138,G141)*G34</f>
        <v>1242.8778915</v>
      </c>
      <c r="H145" s="18">
        <f>AVERAGE(H138,H141)*H34</f>
        <v>1357.2859877325</v>
      </c>
      <c r="I145" s="18">
        <f>AVERAGE(I138,I141)*I34</f>
        <v>1469.7083132329499</v>
      </c>
      <c r="J145" s="18">
        <f>AVERAGE(J138,J141)*J34</f>
        <v>1582.6789450161268</v>
      </c>
      <c r="K145" s="18">
        <f>AVERAGE(K138,K141)*K34</f>
        <v>1697.4701881084543</v>
      </c>
    </row>
    <row r="146" spans="1:11" hidden="1" outlineLevel="1" x14ac:dyDescent="0.35">
      <c r="A146" s="8" t="s">
        <v>153</v>
      </c>
      <c r="B146" s="18"/>
      <c r="C146" s="18"/>
      <c r="D146" s="18"/>
      <c r="E146" s="18"/>
      <c r="F146" s="18"/>
      <c r="G146" s="18">
        <f>AVERAGE(G142,G144)*G37</f>
        <v>0</v>
      </c>
      <c r="H146" s="18">
        <f>AVERAGE(H142,H144)*H37</f>
        <v>0</v>
      </c>
      <c r="I146" s="18">
        <f>AVERAGE(I142,I144)*I37</f>
        <v>0</v>
      </c>
      <c r="J146" s="18">
        <f>AVERAGE(J142,J144)*J37</f>
        <v>0</v>
      </c>
      <c r="K146" s="18">
        <f>AVERAGE(K142,K144)*K37</f>
        <v>0</v>
      </c>
    </row>
    <row r="147" spans="1:11" hidden="1" outlineLevel="1" x14ac:dyDescent="0.35">
      <c r="A147" s="19" t="s">
        <v>179</v>
      </c>
      <c r="B147" s="26">
        <f>B50</f>
        <v>784</v>
      </c>
      <c r="C147" s="26">
        <f>C50</f>
        <v>779</v>
      </c>
      <c r="D147" s="26">
        <f>D50</f>
        <v>778</v>
      </c>
      <c r="E147" s="26">
        <f>E50</f>
        <v>796</v>
      </c>
      <c r="F147" s="26">
        <f>F50</f>
        <v>1227</v>
      </c>
      <c r="G147" s="26">
        <f>G145+G146</f>
        <v>1242.8778915</v>
      </c>
      <c r="H147" s="26">
        <f>H145+H146</f>
        <v>1357.2859877325</v>
      </c>
      <c r="I147" s="26">
        <f>I145+I146</f>
        <v>1469.7083132329499</v>
      </c>
      <c r="J147" s="26">
        <f>J145+J146</f>
        <v>1582.6789450161268</v>
      </c>
      <c r="K147" s="26">
        <f>K145+K146</f>
        <v>1697.4701881084543</v>
      </c>
    </row>
    <row r="148" spans="1:11" hidden="1" outlineLevel="1" x14ac:dyDescent="0.35"/>
    <row r="149" spans="1:11" hidden="1" outlineLevel="1" x14ac:dyDescent="0.35">
      <c r="A149" s="27" t="s">
        <v>154</v>
      </c>
    </row>
    <row r="150" spans="1:11" hidden="1" outlineLevel="1" x14ac:dyDescent="0.35">
      <c r="A150" s="28" t="s">
        <v>167</v>
      </c>
    </row>
    <row r="151" spans="1:11" hidden="1" outlineLevel="1" x14ac:dyDescent="0.35">
      <c r="A151" s="28" t="s">
        <v>183</v>
      </c>
    </row>
    <row r="152" spans="1:11" hidden="1" outlineLevel="1" x14ac:dyDescent="0.35">
      <c r="A152" s="28" t="s">
        <v>155</v>
      </c>
    </row>
    <row r="153" spans="1:11" hidden="1" outlineLevel="1" x14ac:dyDescent="0.35">
      <c r="A153" s="28" t="s">
        <v>156</v>
      </c>
    </row>
    <row r="154" spans="1:11" hidden="1" outlineLevel="1" x14ac:dyDescent="0.35">
      <c r="A154" s="28" t="s">
        <v>184</v>
      </c>
    </row>
    <row r="155" spans="1:11" collapsed="1" x14ac:dyDescent="0.35"/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8"/>
  <sheetViews>
    <sheetView showGridLines="0" zoomScale="67" zoomScaleNormal="100" workbookViewId="0">
      <selection activeCell="O23" sqref="O23"/>
    </sheetView>
  </sheetViews>
  <sheetFormatPr defaultColWidth="8.6328125" defaultRowHeight="14.5" x14ac:dyDescent="0.35"/>
  <cols>
    <col min="1" max="1" width="34" customWidth="1"/>
    <col min="2" max="11" width="14" customWidth="1"/>
  </cols>
  <sheetData>
    <row r="1" spans="1:11" ht="16.5" x14ac:dyDescent="0.35">
      <c r="A1" s="1" t="s">
        <v>157</v>
      </c>
    </row>
    <row r="2" spans="1:11" x14ac:dyDescent="0.35">
      <c r="A2" s="2" t="s">
        <v>170</v>
      </c>
    </row>
    <row r="4" spans="1:11" x14ac:dyDescent="0.35">
      <c r="A4" s="3" t="s">
        <v>158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</row>
    <row r="5" spans="1:11" x14ac:dyDescent="0.35">
      <c r="A5" s="29" t="s">
        <v>159</v>
      </c>
      <c r="B5" s="30">
        <f>Model!B41</f>
        <v>191754</v>
      </c>
      <c r="C5" s="30">
        <f>Model!C41</f>
        <v>225458</v>
      </c>
      <c r="D5" s="30">
        <f>Model!D41</f>
        <v>240893</v>
      </c>
      <c r="E5" s="30">
        <f>Model!E41</f>
        <v>255324</v>
      </c>
      <c r="F5" s="30">
        <f>Model!F41</f>
        <v>267021</v>
      </c>
      <c r="G5" s="30">
        <f>Model!G41</f>
        <v>280372.05</v>
      </c>
      <c r="H5" s="30">
        <f>Model!H41</f>
        <v>295792.51274999999</v>
      </c>
      <c r="I5" s="30">
        <f>Model!I41</f>
        <v>313540.06351499999</v>
      </c>
      <c r="J5" s="30">
        <f>Model!J41</f>
        <v>332352.46732589998</v>
      </c>
      <c r="K5" s="30">
        <f>Model!K41</f>
        <v>352293.615365454</v>
      </c>
    </row>
    <row r="6" spans="1:11" x14ac:dyDescent="0.35">
      <c r="A6" s="29" t="s">
        <v>14</v>
      </c>
      <c r="B6" s="31"/>
      <c r="C6" s="31">
        <f>Model!C41/Model!B41-1</f>
        <v>0.17576686796624852</v>
      </c>
      <c r="D6" s="31">
        <f>Model!D41/Model!C41-1</f>
        <v>6.8460644554639849E-2</v>
      </c>
      <c r="E6" s="31">
        <f>Model!E41/Model!D41-1</f>
        <v>5.9906265437351891E-2</v>
      </c>
      <c r="F6" s="31">
        <f>Model!F41/Model!E41-1</f>
        <v>4.581237956478823E-2</v>
      </c>
      <c r="G6" s="31">
        <f>Model!G41/Model!F41-1</f>
        <v>5.0000000000000044E-2</v>
      </c>
      <c r="H6" s="31">
        <f>Model!H41/Model!G41-1</f>
        <v>5.4999999999999938E-2</v>
      </c>
      <c r="I6" s="31">
        <f>Model!I41/Model!H41-1</f>
        <v>6.0000000000000053E-2</v>
      </c>
      <c r="J6" s="31">
        <f>Model!J41/Model!I41-1</f>
        <v>6.0000000000000053E-2</v>
      </c>
      <c r="K6" s="31">
        <f>Model!K41/Model!J41-1</f>
        <v>6.0000000000000053E-2</v>
      </c>
    </row>
    <row r="7" spans="1:11" x14ac:dyDescent="0.35">
      <c r="A7" s="29" t="s">
        <v>66</v>
      </c>
      <c r="B7" s="30">
        <f>Model!B45</f>
        <v>53057</v>
      </c>
      <c r="C7" s="30">
        <f>Model!C45</f>
        <v>59259</v>
      </c>
      <c r="D7" s="30">
        <f>Model!D45</f>
        <v>63338</v>
      </c>
      <c r="E7" s="30">
        <f>Model!E45</f>
        <v>67407</v>
      </c>
      <c r="F7" s="30">
        <f>Model!F45</f>
        <v>67872</v>
      </c>
      <c r="G7" s="30">
        <f>Model!G45</f>
        <v>75700.453500000003</v>
      </c>
      <c r="H7" s="30">
        <f>Model!H45</f>
        <v>79863.978442500011</v>
      </c>
      <c r="I7" s="30">
        <f>Model!I45</f>
        <v>84655.81714905001</v>
      </c>
      <c r="J7" s="30">
        <f>Model!J45</f>
        <v>89735.166177993</v>
      </c>
      <c r="K7" s="30">
        <f>Model!K45</f>
        <v>95119.276148672594</v>
      </c>
    </row>
    <row r="8" spans="1:11" x14ac:dyDescent="0.35">
      <c r="A8" s="29" t="s">
        <v>160</v>
      </c>
      <c r="B8" s="31">
        <f>Model!B45/Model!B41</f>
        <v>0.27669305464292793</v>
      </c>
      <c r="C8" s="31">
        <f>Model!C45/Model!C41</f>
        <v>0.26283831134845514</v>
      </c>
      <c r="D8" s="31">
        <f>Model!D45/Model!D41</f>
        <v>0.26293001457078452</v>
      </c>
      <c r="E8" s="31">
        <f>Model!E45/Model!E41</f>
        <v>0.26400573389105608</v>
      </c>
      <c r="F8" s="31">
        <f>Model!F45/Model!F41</f>
        <v>0.25418225532823263</v>
      </c>
      <c r="G8" s="31">
        <f>Model!G45/Model!G41</f>
        <v>0.27</v>
      </c>
      <c r="H8" s="31">
        <f>Model!H45/Model!H41</f>
        <v>0.27</v>
      </c>
      <c r="I8" s="31">
        <f>Model!I45/Model!I41</f>
        <v>0.27</v>
      </c>
      <c r="J8" s="31">
        <f>Model!J45/Model!J41</f>
        <v>0.27</v>
      </c>
      <c r="K8" s="31">
        <f>Model!K45/Model!K41</f>
        <v>0.27</v>
      </c>
    </row>
    <row r="9" spans="1:11" x14ac:dyDescent="0.35">
      <c r="A9" s="29" t="s">
        <v>75</v>
      </c>
      <c r="B9" s="30">
        <f>Model!B55</f>
        <v>38327</v>
      </c>
      <c r="C9" s="30">
        <f>Model!C55</f>
        <v>42147</v>
      </c>
      <c r="D9" s="30">
        <f>Model!D55</f>
        <v>45908</v>
      </c>
      <c r="E9" s="30">
        <f>Model!E55</f>
        <v>48553</v>
      </c>
      <c r="F9" s="30">
        <f>Model!F55</f>
        <v>49210</v>
      </c>
      <c r="G9" s="30">
        <f>Model!G55</f>
        <v>53891.558056054586</v>
      </c>
      <c r="H9" s="30">
        <f>Model!H55</f>
        <v>56921.58899200266</v>
      </c>
      <c r="I9" s="30">
        <f>Model!I55</f>
        <v>60481.602610579859</v>
      </c>
      <c r="J9" s="30">
        <f>Model!J55</f>
        <v>64266.691892134993</v>
      </c>
      <c r="K9" s="30">
        <f>Model!K55</f>
        <v>68242.081176377382</v>
      </c>
    </row>
    <row r="10" spans="1:11" x14ac:dyDescent="0.35">
      <c r="A10" s="29" t="s">
        <v>161</v>
      </c>
      <c r="B10" s="31">
        <f>Model!B55/Model!B41</f>
        <v>0.19987588264130082</v>
      </c>
      <c r="C10" s="31">
        <f>Model!C55/Model!C41</f>
        <v>0.18693947431450647</v>
      </c>
      <c r="D10" s="31">
        <f>Model!D55/Model!D41</f>
        <v>0.19057423835478823</v>
      </c>
      <c r="E10" s="31">
        <f>Model!E55/Model!E41</f>
        <v>0.1901623035828986</v>
      </c>
      <c r="F10" s="31">
        <f>Model!F55/Model!F41</f>
        <v>0.1842926211796076</v>
      </c>
      <c r="G10" s="31">
        <f>Model!G55/Model!G41</f>
        <v>0.19221444525606096</v>
      </c>
      <c r="H10" s="31">
        <f>Model!H55/Model!H41</f>
        <v>0.1924375585534582</v>
      </c>
      <c r="I10" s="31">
        <f>Model!I55/Model!I41</f>
        <v>0.19289912087322894</v>
      </c>
      <c r="J10" s="31">
        <f>Model!J55/Model!J41</f>
        <v>0.19336908315807991</v>
      </c>
      <c r="K10" s="31">
        <f>Model!K55/Model!K41</f>
        <v>0.1937079702837817</v>
      </c>
    </row>
    <row r="11" spans="1:11" x14ac:dyDescent="0.35">
      <c r="A11" s="29" t="s">
        <v>162</v>
      </c>
      <c r="B11" s="32">
        <f>Model!B57</f>
        <v>103.61919108363335</v>
      </c>
      <c r="C11" s="32">
        <f>Model!C57</f>
        <v>115.18559239425034</v>
      </c>
      <c r="D11" s="32">
        <f>Model!D57</f>
        <v>125.88392148668515</v>
      </c>
      <c r="E11" s="32">
        <f>Model!E57</f>
        <v>134.19520605416159</v>
      </c>
      <c r="F11" s="32">
        <f>Model!F57</f>
        <v>136.01108252683235</v>
      </c>
      <c r="G11" s="32">
        <f>Model!G57</f>
        <v>148.95039931439985</v>
      </c>
      <c r="H11" s="32">
        <f>Model!H57</f>
        <v>157.32507494309502</v>
      </c>
      <c r="I11" s="32">
        <f>Model!I57</f>
        <v>167.16456500757278</v>
      </c>
      <c r="J11" s="32">
        <f>Model!J57</f>
        <v>177.62613970062344</v>
      </c>
      <c r="K11" s="32">
        <f>Model!K57</f>
        <v>188.61368288321594</v>
      </c>
    </row>
    <row r="12" spans="1:11" x14ac:dyDescent="0.35">
      <c r="A12" s="29" t="s">
        <v>163</v>
      </c>
      <c r="B12" s="30">
        <f>Model!B90</f>
        <v>39949</v>
      </c>
      <c r="C12" s="30">
        <f>Model!C90</f>
        <v>41965</v>
      </c>
      <c r="D12" s="30">
        <f>Model!D90</f>
        <v>44338</v>
      </c>
      <c r="E12" s="30">
        <f>Model!E90</f>
        <v>48908</v>
      </c>
      <c r="F12" s="30">
        <f>Model!F90</f>
        <v>52094</v>
      </c>
      <c r="G12" s="30">
        <f>Model!G90</f>
        <v>56038.753630986597</v>
      </c>
      <c r="H12" s="30">
        <f>Model!H90</f>
        <v>59455.08425449051</v>
      </c>
      <c r="I12" s="30">
        <f>Model!I90</f>
        <v>62818.526144116833</v>
      </c>
      <c r="J12" s="30">
        <f>Model!J90</f>
        <v>65674.893110155142</v>
      </c>
      <c r="K12" s="30">
        <f>Model!K90</f>
        <v>69574.317078158463</v>
      </c>
    </row>
    <row r="13" spans="1:11" x14ac:dyDescent="0.35">
      <c r="A13" s="29" t="s">
        <v>164</v>
      </c>
      <c r="B13" s="30">
        <f>-(Model!B91+Model!B92)</f>
        <v>2995</v>
      </c>
      <c r="C13" s="30">
        <f>-(Model!C91+Model!C92)</f>
        <v>3100</v>
      </c>
      <c r="D13" s="30">
        <f>-(Model!D91+Model!D92)</f>
        <v>2674</v>
      </c>
      <c r="E13" s="30">
        <f>-(Model!E91+Model!E92)</f>
        <v>3937</v>
      </c>
      <c r="F13" s="30">
        <f>-(Model!F91+Model!F92)</f>
        <v>4146</v>
      </c>
      <c r="G13" s="30">
        <f>-(Model!G91+Model!G92)</f>
        <v>4205.5807500000001</v>
      </c>
      <c r="H13" s="30">
        <f>-(Model!H91+Model!H92)</f>
        <v>4436.88769125</v>
      </c>
      <c r="I13" s="30">
        <f>-(Model!I91+Model!I92)</f>
        <v>4703.1009527249998</v>
      </c>
      <c r="J13" s="30">
        <f>-(Model!J91+Model!J92)</f>
        <v>4985.2870098884996</v>
      </c>
      <c r="K13" s="30">
        <f>-(Model!K91+Model!K92)</f>
        <v>5284.4042304818104</v>
      </c>
    </row>
    <row r="14" spans="1:11" x14ac:dyDescent="0.35">
      <c r="A14" s="29" t="s">
        <v>165</v>
      </c>
      <c r="B14" s="30">
        <f>Model!B90+Model!B91+Model!B92</f>
        <v>36954</v>
      </c>
      <c r="C14" s="30">
        <f>Model!C90+Model!C91+Model!C92</f>
        <v>38865</v>
      </c>
      <c r="D14" s="30">
        <f>Model!D90+Model!D91+Model!D92</f>
        <v>41664</v>
      </c>
      <c r="E14" s="30">
        <f>Model!E90+Model!E91+Model!E92</f>
        <v>44971</v>
      </c>
      <c r="F14" s="30">
        <f>Model!F90+Model!F91+Model!F92</f>
        <v>47948</v>
      </c>
      <c r="G14" s="30">
        <f>Model!G90+Model!G91+Model!G92</f>
        <v>51833.172880986596</v>
      </c>
      <c r="H14" s="30">
        <f>Model!H90+Model!H91+Model!H92</f>
        <v>55018.196563240512</v>
      </c>
      <c r="I14" s="30">
        <f>Model!I90+Model!I91+Model!I92</f>
        <v>58115.425191391834</v>
      </c>
      <c r="J14" s="30">
        <f>Model!J90+Model!J91+Model!J92</f>
        <v>60689.606100266639</v>
      </c>
      <c r="K14" s="30">
        <f>Model!K90+Model!K91+Model!K92</f>
        <v>64289.912847676649</v>
      </c>
    </row>
    <row r="15" spans="1:11" x14ac:dyDescent="0.35">
      <c r="A15" s="29" t="s">
        <v>111</v>
      </c>
      <c r="B15" s="30">
        <f>-Model!B97</f>
        <v>13375</v>
      </c>
      <c r="C15" s="30">
        <f>-Model!C97</f>
        <v>41410</v>
      </c>
      <c r="D15" s="30">
        <f>-Model!D97</f>
        <v>25218</v>
      </c>
      <c r="E15" s="30">
        <f>-Model!E97</f>
        <v>44962</v>
      </c>
      <c r="F15" s="30">
        <f>-Model!F97</f>
        <v>39571</v>
      </c>
      <c r="G15" s="30">
        <f>-Model!G97</f>
        <v>45807.824347646398</v>
      </c>
      <c r="H15" s="30">
        <f>-Model!H97</f>
        <v>48383.350643202262</v>
      </c>
      <c r="I15" s="30">
        <f>-Model!I97</f>
        <v>51409.362218992879</v>
      </c>
      <c r="J15" s="30">
        <f>-Model!J97</f>
        <v>54626.688108314745</v>
      </c>
      <c r="K15" s="30">
        <f>-Model!K97</f>
        <v>58005.768999920772</v>
      </c>
    </row>
    <row r="16" spans="1:11" x14ac:dyDescent="0.35">
      <c r="A16" s="29" t="s">
        <v>121</v>
      </c>
      <c r="B16" s="30">
        <f>Model!B67</f>
        <v>12488</v>
      </c>
      <c r="C16" s="30">
        <f>Model!C67</f>
        <v>7123</v>
      </c>
      <c r="D16" s="30">
        <f>Model!D67</f>
        <v>9016</v>
      </c>
      <c r="E16" s="30">
        <f>Model!E67</f>
        <v>8342</v>
      </c>
      <c r="F16" s="30">
        <f>Model!F67</f>
        <v>6417</v>
      </c>
      <c r="G16" s="30">
        <f>Model!G67</f>
        <v>10883.263141840209</v>
      </c>
      <c r="H16" s="30">
        <f>Model!H67</f>
        <v>15340.011039783967</v>
      </c>
      <c r="I16" s="30">
        <f>Model!I67</f>
        <v>19699.959314021267</v>
      </c>
      <c r="J16" s="30">
        <f>Model!J67</f>
        <v>23456.712006701382</v>
      </c>
      <c r="K16" s="30">
        <f>Model!K67</f>
        <v>27427.627440179727</v>
      </c>
    </row>
    <row r="17" spans="1:11" x14ac:dyDescent="0.35">
      <c r="A17" s="29" t="s">
        <v>96</v>
      </c>
      <c r="B17" s="30">
        <f>Model!B79</f>
        <v>89846</v>
      </c>
      <c r="C17" s="30">
        <f>Model!C79</f>
        <v>91206</v>
      </c>
      <c r="D17" s="30">
        <f>Model!D79</f>
        <v>91319</v>
      </c>
      <c r="E17" s="30">
        <f>Model!E79</f>
        <v>95771</v>
      </c>
      <c r="F17" s="30">
        <f>Model!F79</f>
        <v>108478</v>
      </c>
      <c r="G17" s="30">
        <f>Model!G79</f>
        <v>116832.5455579361</v>
      </c>
      <c r="H17" s="30">
        <f>Model!H79</f>
        <v>125656.82204237471</v>
      </c>
      <c r="I17" s="30">
        <f>Model!I79</f>
        <v>135032.99008527116</v>
      </c>
      <c r="J17" s="30">
        <f>Model!J79</f>
        <v>144995.94206955438</v>
      </c>
      <c r="K17" s="30">
        <f>Model!K79</f>
        <v>155575.17927704804</v>
      </c>
    </row>
    <row r="18" spans="1:11" x14ac:dyDescent="0.35">
      <c r="A18" s="29" t="s">
        <v>166</v>
      </c>
      <c r="B18" s="31"/>
      <c r="C18" s="31">
        <f>Model!C55/AVERAGE(Model!C77,Model!B77)</f>
        <v>0.46943969526015938</v>
      </c>
      <c r="D18" s="31">
        <f>Model!D55/AVERAGE(Model!D77,Model!C77)</f>
        <v>0.50751466174348991</v>
      </c>
      <c r="E18" s="31">
        <f>Model!E55/AVERAGE(Model!E77,Model!D77)</f>
        <v>0.5242030824043834</v>
      </c>
      <c r="F18" s="31">
        <f>Model!F55/AVERAGE(Model!F77,Model!E77)</f>
        <v>0.48723737103705023</v>
      </c>
      <c r="G18" s="31">
        <f>Model!G55/AVERAGE(Model!G77,Model!F77)</f>
        <v>0.48427978052040227</v>
      </c>
      <c r="H18" s="31">
        <f>Model!H55/AVERAGE(Model!H77,Model!G77)</f>
        <v>0.47596146107310733</v>
      </c>
      <c r="I18" s="31">
        <f>Model!I55/AVERAGE(Model!I77,Model!H77)</f>
        <v>0.47104751752388851</v>
      </c>
      <c r="J18" s="31">
        <f>Model!J55/AVERAGE(Model!J77,Model!I77)</f>
        <v>0.46653158453058297</v>
      </c>
      <c r="K18" s="31">
        <f>Model!K55/AVERAGE(Model!K77,Model!J77)</f>
        <v>0.46205555577460417</v>
      </c>
    </row>
  </sheetData>
  <pageMargins left="0.75" right="0.75" top="1" bottom="1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Summary &amp;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Risha K</cp:lastModifiedBy>
  <cp:revision>1</cp:revision>
  <dcterms:created xsi:type="dcterms:W3CDTF">2026-10-07T03:48:43Z</dcterms:created>
  <dcterms:modified xsi:type="dcterms:W3CDTF">2026-10-08T08:20:23Z</dcterms:modified>
  <dc:language>en-US</dc:language>
</cp:coreProperties>
</file>